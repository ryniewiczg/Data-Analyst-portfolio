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ynieG18652\OneDrive - PerkinElmer Inc\Desktop\Insights\Practima\Spotkanie 3\"/>
    </mc:Choice>
  </mc:AlternateContent>
  <xr:revisionPtr revIDLastSave="0" documentId="8_{E34AE56E-A476-4AAB-A662-95BCB77F6FE5}" xr6:coauthVersionLast="47" xr6:coauthVersionMax="47" xr10:uidLastSave="{00000000-0000-0000-0000-000000000000}"/>
  <bookViews>
    <workbookView xWindow="-108" yWindow="-108" windowWidth="41496" windowHeight="16776" tabRatio="855" activeTab="4" xr2:uid="{00000000-000D-0000-FFFF-FFFF00000000}"/>
  </bookViews>
  <sheets>
    <sheet name="RAW DATA" sheetId="1" r:id="rId1"/>
    <sheet name="CLEAN DATA" sheetId="7" r:id="rId2"/>
    <sheet name="TASK" sheetId="6" r:id="rId3"/>
    <sheet name="TASK 1 &amp; 2 with Pivot Tables" sheetId="8" r:id="rId4"/>
    <sheet name="Statistical Measures" sheetId="9" r:id="rId5"/>
    <sheet name="CHARTS" sheetId="10" r:id="rId6"/>
    <sheet name="Korelacja" sheetId="5" state="hidden" r:id="rId7"/>
  </sheets>
  <definedNames>
    <definedName name="_xlnm._FilterDatabase" localSheetId="6" hidden="1">Korelacja!$A$1:$Z$1002</definedName>
    <definedName name="_xlchart.v1.0" hidden="1">'CLEAN DATA'!$N$1</definedName>
    <definedName name="_xlchart.v1.1" hidden="1">'CLEAN DATA'!$N$2:$N$1002</definedName>
    <definedName name="_xlchart.v1.10" hidden="1">'CLEAN DATA'!$N$2:$N$101</definedName>
    <definedName name="_xlchart.v1.11" hidden="1">'CLEAN DATA'!$A$2:$M$101</definedName>
    <definedName name="_xlchart.v1.12" hidden="1">'CLEAN DATA'!$N$1</definedName>
    <definedName name="_xlchart.v1.13" hidden="1">'CLEAN DATA'!$N$2:$N$101</definedName>
    <definedName name="_xlchart.v1.14" hidden="1">'CLEAN DATA'!$A$2:$M$101</definedName>
    <definedName name="_xlchart.v1.15" hidden="1">'CLEAN DATA'!$N$1</definedName>
    <definedName name="_xlchart.v1.16" hidden="1">'CLEAN DATA'!$N$2:$N$101</definedName>
    <definedName name="_xlchart.v1.17" hidden="1">'CLEAN DATA'!$A$2:$M$101</definedName>
    <definedName name="_xlchart.v1.18" hidden="1">'CLEAN DATA'!$N$1</definedName>
    <definedName name="_xlchart.v1.19" hidden="1">'CLEAN DATA'!$N$2:$N$101</definedName>
    <definedName name="_xlchart.v1.2" hidden="1">'CLEAN DATA'!$A$2:$M$101</definedName>
    <definedName name="_xlchart.v1.20" hidden="1">'CLEAN DATA'!$A$2:$M$101</definedName>
    <definedName name="_xlchart.v1.21" hidden="1">'CLEAN DATA'!$N$1</definedName>
    <definedName name="_xlchart.v1.22" hidden="1">'CLEAN DATA'!$N$2:$N$101</definedName>
    <definedName name="_xlchart.v1.23" hidden="1">'CLEAN DATA'!$A$2:$M$101</definedName>
    <definedName name="_xlchart.v1.24" hidden="1">'CLEAN DATA'!$N$1</definedName>
    <definedName name="_xlchart.v1.25" hidden="1">'CLEAN DATA'!$N$2:$N$101</definedName>
    <definedName name="_xlchart.v1.26" hidden="1">'CLEAN DATA'!$N$1</definedName>
    <definedName name="_xlchart.v1.27" hidden="1">'CLEAN DATA'!$N$2:$N$1002</definedName>
    <definedName name="_xlchart.v1.28" hidden="1">CHARTS!$A$1</definedName>
    <definedName name="_xlchart.v1.29" hidden="1">'CLEAN DATA'!$A$2:$M$101</definedName>
    <definedName name="_xlchart.v1.3" hidden="1">'CLEAN DATA'!$N$1</definedName>
    <definedName name="_xlchart.v1.30" hidden="1">'CLEAN DATA'!$N$1</definedName>
    <definedName name="_xlchart.v1.31" hidden="1">'CLEAN DATA'!$N$2:$N$101</definedName>
    <definedName name="_xlchart.v1.4" hidden="1">'CLEAN DATA'!$N$2:$N$101</definedName>
    <definedName name="_xlchart.v1.5" hidden="1">'CLEAN DATA'!$A$2:$M$101</definedName>
    <definedName name="_xlchart.v1.6" hidden="1">'CLEAN DATA'!$N$1</definedName>
    <definedName name="_xlchart.v1.7" hidden="1">'CLEAN DATA'!$N$2:$N$101</definedName>
    <definedName name="_xlchart.v1.8" hidden="1">'CLEAN DATA'!$A$2:$M$101</definedName>
    <definedName name="_xlchart.v1.9" hidden="1">'CLEAN DATA'!$N$1</definedName>
  </definedNames>
  <calcPr calcId="191029" concurrentCalc="0"/>
  <pivotCaches>
    <pivotCache cacheId="3" r:id="rId8"/>
    <pivotCache cacheId="9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4EjXVpq4vdQ4PFpqKusWJPykCfs3S8jQDW+V7e8iVH0="/>
    </ext>
  </extLst>
</workbook>
</file>

<file path=xl/calcChain.xml><?xml version="1.0" encoding="utf-8"?>
<calcChain xmlns="http://schemas.openxmlformats.org/spreadsheetml/2006/main">
  <c r="O4" i="10" l="1"/>
  <c r="O3" i="10"/>
  <c r="O2" i="10"/>
  <c r="B46" i="9"/>
  <c r="B45" i="9"/>
  <c r="B41" i="9"/>
  <c r="B40" i="9"/>
  <c r="B39" i="9"/>
  <c r="B37" i="9"/>
  <c r="B16" i="9"/>
  <c r="B34" i="9"/>
  <c r="B35" i="9"/>
  <c r="B36" i="9"/>
  <c r="D28" i="9" a="1"/>
  <c r="D28" i="9"/>
  <c r="D27" i="9" a="1"/>
  <c r="D27" i="9"/>
  <c r="D26" i="9" a="1"/>
  <c r="D26" i="9"/>
  <c r="D25" i="9" a="1"/>
  <c r="D25" i="9"/>
  <c r="C28" i="9" a="1"/>
  <c r="C28" i="9"/>
  <c r="C27" i="9" a="1"/>
  <c r="C27" i="9"/>
  <c r="C26" i="9" a="1"/>
  <c r="C26" i="9"/>
  <c r="C25" i="9" a="1"/>
  <c r="C25" i="9"/>
  <c r="B28" i="9"/>
  <c r="B27" i="9"/>
  <c r="B26" i="9"/>
  <c r="B25" i="9"/>
  <c r="B13" i="9"/>
  <c r="B12" i="9"/>
  <c r="B11" i="9"/>
  <c r="B10" i="9"/>
  <c r="B8" i="9"/>
  <c r="B7" i="9"/>
  <c r="B6" i="9"/>
  <c r="B4" i="9"/>
  <c r="B3" i="9"/>
  <c r="J3" i="8"/>
  <c r="A9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<sst xmlns="http://schemas.openxmlformats.org/spreadsheetml/2006/main" count="1276" uniqueCount="224">
  <si>
    <t>ID</t>
  </si>
  <si>
    <t>Location</t>
  </si>
  <si>
    <t>Price_per_sqm</t>
  </si>
  <si>
    <t>Area_sqm</t>
  </si>
  <si>
    <t>Rooms</t>
  </si>
  <si>
    <t>Year_Built</t>
  </si>
  <si>
    <t>Condition</t>
  </si>
  <si>
    <t>Has_Garage</t>
  </si>
  <si>
    <t>Distance_to_Center_km</t>
  </si>
  <si>
    <t>Monthly_Utilities_PLN</t>
  </si>
  <si>
    <t>Elevator</t>
  </si>
  <si>
    <t>Type</t>
  </si>
  <si>
    <t>Sale_Date</t>
  </si>
  <si>
    <t>Total_Price_PLN</t>
  </si>
  <si>
    <t>Dzielnica A</t>
  </si>
  <si>
    <t>Average</t>
  </si>
  <si>
    <t>16,75</t>
  </si>
  <si>
    <t>Studio</t>
  </si>
  <si>
    <t>Good</t>
  </si>
  <si>
    <t>3,54</t>
  </si>
  <si>
    <t>1,26</t>
  </si>
  <si>
    <t>Poor</t>
  </si>
  <si>
    <t>6,85</t>
  </si>
  <si>
    <t>12,21</t>
  </si>
  <si>
    <t>17,00</t>
  </si>
  <si>
    <t>1,60</t>
  </si>
  <si>
    <t>Dzielnica B</t>
  </si>
  <si>
    <t>17,69</t>
  </si>
  <si>
    <t>16,04</t>
  </si>
  <si>
    <t>New</t>
  </si>
  <si>
    <t>14,80</t>
  </si>
  <si>
    <t>11,40</t>
  </si>
  <si>
    <t>14,26</t>
  </si>
  <si>
    <t>4,42</t>
  </si>
  <si>
    <t>Apartment</t>
  </si>
  <si>
    <t>8,82</t>
  </si>
  <si>
    <t>17,99</t>
  </si>
  <si>
    <t>10,72</t>
  </si>
  <si>
    <t>Dzielnica C</t>
  </si>
  <si>
    <t>3,98</t>
  </si>
  <si>
    <t>Dzielnica D</t>
  </si>
  <si>
    <t>13,15</t>
  </si>
  <si>
    <t>16,30</t>
  </si>
  <si>
    <t>18,16</t>
  </si>
  <si>
    <t>12,01</t>
  </si>
  <si>
    <t>7,56</t>
  </si>
  <si>
    <t>7,76</t>
  </si>
  <si>
    <t>8,18</t>
  </si>
  <si>
    <t>4,90</t>
  </si>
  <si>
    <t>15,38</t>
  </si>
  <si>
    <t>1,89</t>
  </si>
  <si>
    <t>16,80</t>
  </si>
  <si>
    <t>10,12</t>
  </si>
  <si>
    <t>19,63</t>
  </si>
  <si>
    <t>House</t>
  </si>
  <si>
    <t>12,55</t>
  </si>
  <si>
    <t>9,73</t>
  </si>
  <si>
    <t>12,44</t>
  </si>
  <si>
    <t>7,60</t>
  </si>
  <si>
    <t>11,43</t>
  </si>
  <si>
    <t>7,27</t>
  </si>
  <si>
    <t>17,50</t>
  </si>
  <si>
    <t>16,51</t>
  </si>
  <si>
    <t>8,99</t>
  </si>
  <si>
    <t>15,91</t>
  </si>
  <si>
    <t>2,26</t>
  </si>
  <si>
    <t>9,74</t>
  </si>
  <si>
    <t>14,14</t>
  </si>
  <si>
    <t>6,22</t>
  </si>
  <si>
    <t>12,73</t>
  </si>
  <si>
    <t>18,30</t>
  </si>
  <si>
    <t>7,49</t>
  </si>
  <si>
    <t>7,11</t>
  </si>
  <si>
    <t>14,07</t>
  </si>
  <si>
    <t>8,17</t>
  </si>
  <si>
    <t>1,05</t>
  </si>
  <si>
    <t>2,61</t>
  </si>
  <si>
    <t>15,24</t>
  </si>
  <si>
    <t>2,43</t>
  </si>
  <si>
    <t>11,15</t>
  </si>
  <si>
    <t>12,12</t>
  </si>
  <si>
    <t>2,73</t>
  </si>
  <si>
    <t>1,87</t>
  </si>
  <si>
    <t>12,80</t>
  </si>
  <si>
    <t>8,47</t>
  </si>
  <si>
    <t>5,58</t>
  </si>
  <si>
    <t>19,39</t>
  </si>
  <si>
    <t>12,11</t>
  </si>
  <si>
    <t>16,61</t>
  </si>
  <si>
    <t>2,75</t>
  </si>
  <si>
    <t>10,14</t>
  </si>
  <si>
    <t>4,94</t>
  </si>
  <si>
    <t>4,97</t>
  </si>
  <si>
    <t>14,23</t>
  </si>
  <si>
    <t>17,61</t>
  </si>
  <si>
    <t>3,45</t>
  </si>
  <si>
    <t>12,35</t>
  </si>
  <si>
    <t>6,10</t>
  </si>
  <si>
    <t>1,42</t>
  </si>
  <si>
    <t>10,47</t>
  </si>
  <si>
    <t>2,68</t>
  </si>
  <si>
    <t>8,61</t>
  </si>
  <si>
    <t>10,79</t>
  </si>
  <si>
    <t>11,81</t>
  </si>
  <si>
    <t>2,21</t>
  </si>
  <si>
    <t>15,25</t>
  </si>
  <si>
    <t>18,35</t>
  </si>
  <si>
    <t>5,78</t>
  </si>
  <si>
    <t>9,57</t>
  </si>
  <si>
    <t>6,66</t>
  </si>
  <si>
    <t>15,61</t>
  </si>
  <si>
    <t>5,25</t>
  </si>
  <si>
    <t>1,70</t>
  </si>
  <si>
    <t>10,05</t>
  </si>
  <si>
    <t>13,10</t>
  </si>
  <si>
    <t>11,54</t>
  </si>
  <si>
    <t>10,95</t>
  </si>
  <si>
    <t>16,13</t>
  </si>
  <si>
    <t>11,21</t>
  </si>
  <si>
    <t>19,49</t>
  </si>
  <si>
    <t>Zadanie domowe:</t>
  </si>
  <si>
    <t>Dla zmiennej Total_Price_PLN:</t>
  </si>
  <si>
    <t>● Stwórz histogram.</t>
  </si>
  <si>
    <t>● Oblicz:</t>
  </si>
  <si>
    <t>Zakres.</t>
  </si>
  <si>
    <t>Odchylenie standardowe.</t>
  </si>
  <si>
    <t>Rozstęp międzykwartylowy (IQR).</t>
  </si>
  <si>
    <t>● Zidentyfikuj wartości odstające przy użyciu reguły 1.5⋅IQR</t>
  </si>
  <si>
    <t>● Zinterpretuj wyniki – czy rozproszenie cen jest duże? Co to oznacza w kontekście analizy rynku?</t>
  </si>
  <si>
    <t>Stwórz wykres słupkowy dla zmiennej Type.</t>
  </si>
  <si>
    <t>Co możemy powiedzieć o tej zmiennej na podstawie tego wykresu?</t>
  </si>
  <si>
    <t>Homework:</t>
  </si>
  <si>
    <r>
      <t xml:space="preserve">For the variable </t>
    </r>
    <r>
      <rPr>
        <b/>
        <sz val="10"/>
        <color rgb="FF000000"/>
        <rFont val="Arial"/>
        <family val="2"/>
        <scheme val="minor"/>
      </rPr>
      <t>Total_Price_PLN</t>
    </r>
    <r>
      <rPr>
        <sz val="10"/>
        <color rgb="FF000000"/>
        <rFont val="Arial"/>
        <family val="2"/>
        <scheme val="minor"/>
      </rPr>
      <t>:</t>
    </r>
  </si>
  <si>
    <t>● Create a histogram.</t>
  </si>
  <si>
    <t>● Calculate:</t>
  </si>
  <si>
    <t>– Range.</t>
  </si>
  <si>
    <t>– Standard deviation.</t>
  </si>
  <si>
    <t>– Interquartile range (IQR).</t>
  </si>
  <si>
    <r>
      <t xml:space="preserve">● Identify outliers using the </t>
    </r>
    <r>
      <rPr>
        <b/>
        <sz val="10"/>
        <color rgb="FF000000"/>
        <rFont val="Arial"/>
        <family val="2"/>
        <scheme val="minor"/>
      </rPr>
      <t>1.5⋅IQR rule</t>
    </r>
    <r>
      <rPr>
        <sz val="10"/>
        <color rgb="FF000000"/>
        <rFont val="Arial"/>
        <family val="2"/>
        <scheme val="minor"/>
      </rPr>
      <t>.</t>
    </r>
  </si>
  <si>
    <t>● Interpret the results – is the price dispersion large? What does it mean in the context of market analysis?</t>
  </si>
  <si>
    <r>
      <t xml:space="preserve">Create a </t>
    </r>
    <r>
      <rPr>
        <b/>
        <sz val="10"/>
        <color rgb="FF000000"/>
        <rFont val="Arial"/>
        <family val="2"/>
        <scheme val="minor"/>
      </rPr>
      <t>bar chart</t>
    </r>
    <r>
      <rPr>
        <sz val="10"/>
        <color rgb="FF000000"/>
        <rFont val="Arial"/>
        <family val="2"/>
        <scheme val="minor"/>
      </rPr>
      <t xml:space="preserve"> for the variable </t>
    </r>
    <r>
      <rPr>
        <b/>
        <sz val="10"/>
        <color rgb="FF000000"/>
        <rFont val="Arial"/>
        <family val="2"/>
        <scheme val="minor"/>
      </rPr>
      <t>Type</t>
    </r>
    <r>
      <rPr>
        <sz val="10"/>
        <color rgb="FF000000"/>
        <rFont val="Arial"/>
        <family val="2"/>
        <scheme val="minor"/>
      </rPr>
      <t>.</t>
    </r>
  </si>
  <si>
    <t>What can we say about this variable based on the chart?</t>
  </si>
  <si>
    <t>Zadanie 1 - Pytania ogólne</t>
  </si>
  <si>
    <t>Wykonaj poniższe polecenia:</t>
  </si>
  <si>
    <t>Czy posiadanie garażu zwiększa średnią cenę mieszkania? Jaka jest różnica?</t>
  </si>
  <si>
    <t>Jakie są średnie ceny różnych typów nieruchomości?</t>
  </si>
  <si>
    <t>Jaki stan techniczny nieruchomości sprzedawał się najczęściej?</t>
  </si>
  <si>
    <t>Jaki jest średni koszt utrzymania nieruchomości? Jak różni się on między typami nieruchomości?</t>
  </si>
  <si>
    <t>Zadanie 2 - Badanie zróżnicowania między grupami</t>
  </si>
  <si>
    <t>Wykonaj poniższe polecenia: </t>
  </si>
  <si>
    <t>Podziel dane na grupy według zmiennej Type.</t>
  </si>
  <si>
    <t>Dla każdej grupy oblicz średnią dla zmiennej Total_Price_PLN.</t>
  </si>
  <si>
    <t>Zinterpretuj wyniki</t>
  </si>
  <si>
    <t>Homework</t>
  </si>
  <si>
    <t>Task 1 – General Questions</t>
  </si>
  <si>
    <t>Complete the following instructions:</t>
  </si>
  <si>
    <t>Does having a garage increase the average price of an apartment? What is the difference?</t>
  </si>
  <si>
    <t>What are the average prices of different types of properties?</t>
  </si>
  <si>
    <t>What technical condition of the property was sold most often?</t>
  </si>
  <si>
    <t>What is the average maintenance cost of a property? How does it differ between property types?</t>
  </si>
  <si>
    <t>Task 2 – Analysis of Differences Between Groups</t>
  </si>
  <si>
    <r>
      <t xml:space="preserve">Split the data into groups according to the variable </t>
    </r>
    <r>
      <rPr>
        <b/>
        <sz val="10"/>
        <color rgb="FF000000"/>
        <rFont val="Arial"/>
        <family val="2"/>
        <scheme val="minor"/>
      </rPr>
      <t>Type</t>
    </r>
    <r>
      <rPr>
        <sz val="10"/>
        <color rgb="FF000000"/>
        <rFont val="Arial"/>
        <family val="2"/>
        <scheme val="minor"/>
      </rPr>
      <t>.</t>
    </r>
  </si>
  <si>
    <r>
      <t xml:space="preserve">For each group, calculate the average value of the variable </t>
    </r>
    <r>
      <rPr>
        <b/>
        <sz val="10"/>
        <color rgb="FF000000"/>
        <rFont val="Arial"/>
        <family val="2"/>
        <scheme val="minor"/>
      </rPr>
      <t>Total_Price_PLN</t>
    </r>
    <r>
      <rPr>
        <sz val="10"/>
        <color rgb="FF000000"/>
        <rFont val="Arial"/>
        <family val="2"/>
        <scheme val="minor"/>
      </rPr>
      <t>.</t>
    </r>
  </si>
  <si>
    <t>Interpret the results.</t>
  </si>
  <si>
    <t>FALSE</t>
  </si>
  <si>
    <t>TRUE</t>
  </si>
  <si>
    <t>Grand Total</t>
  </si>
  <si>
    <r>
      <rPr>
        <b/>
        <i/>
        <sz val="10"/>
        <color rgb="FF000000"/>
        <rFont val="Arial"/>
        <family val="2"/>
        <scheme val="minor"/>
      </rPr>
      <t>Question #1</t>
    </r>
    <r>
      <rPr>
        <i/>
        <sz val="10"/>
        <color rgb="FF000000"/>
        <rFont val="Arial"/>
        <family val="2"/>
        <scheme val="minor"/>
      </rPr>
      <t xml:space="preserve"> Does having a garage increase the average price of an apartment? What is the difference?</t>
    </r>
  </si>
  <si>
    <t>Difference</t>
  </si>
  <si>
    <r>
      <rPr>
        <b/>
        <i/>
        <sz val="10"/>
        <color rgb="FF000000"/>
        <rFont val="Arial"/>
        <family val="2"/>
        <scheme val="minor"/>
      </rPr>
      <t>Question #2</t>
    </r>
    <r>
      <rPr>
        <i/>
        <sz val="10"/>
        <color rgb="FF000000"/>
        <rFont val="Arial"/>
        <family val="2"/>
        <scheme val="minor"/>
      </rPr>
      <t xml:space="preserve"> What are the average prices of different types of properties?</t>
    </r>
  </si>
  <si>
    <t>Average price in PLN</t>
  </si>
  <si>
    <t>Average Total</t>
  </si>
  <si>
    <t>Garage</t>
  </si>
  <si>
    <r>
      <rPr>
        <b/>
        <i/>
        <sz val="10"/>
        <color rgb="FF000000"/>
        <rFont val="Arial"/>
        <family val="2"/>
        <scheme val="minor"/>
      </rPr>
      <t>Question #3</t>
    </r>
    <r>
      <rPr>
        <i/>
        <sz val="10"/>
        <color rgb="FF000000"/>
        <rFont val="Arial"/>
        <family val="2"/>
        <scheme val="minor"/>
      </rPr>
      <t xml:space="preserve"> What technical condition of the property was sold most often?</t>
    </r>
  </si>
  <si>
    <t>Count</t>
  </si>
  <si>
    <r>
      <rPr>
        <b/>
        <i/>
        <sz val="10"/>
        <color rgb="FF000000"/>
        <rFont val="Arial"/>
        <family val="2"/>
        <scheme val="minor"/>
      </rPr>
      <t>Question #4</t>
    </r>
    <r>
      <rPr>
        <i/>
        <sz val="10"/>
        <color rgb="FF000000"/>
        <rFont val="Arial"/>
        <family val="2"/>
        <scheme val="minor"/>
      </rPr>
      <t xml:space="preserve"> What is the average maintenance cost of a property? How does it differ between property types?</t>
    </r>
  </si>
  <si>
    <r>
      <rPr>
        <b/>
        <sz val="10"/>
        <color rgb="FF000000"/>
        <rFont val="Arial"/>
        <family val="2"/>
        <scheme val="minor"/>
      </rPr>
      <t>Answer to #4</t>
    </r>
    <r>
      <rPr>
        <sz val="10"/>
        <color rgb="FF000000"/>
        <rFont val="Arial"/>
        <family val="2"/>
        <scheme val="minor"/>
      </rPr>
      <t xml:space="preserve">: The overall average monthly maintenance cost is approximately </t>
    </r>
    <r>
      <rPr>
        <b/>
        <sz val="10"/>
        <color rgb="FFFF0000"/>
        <rFont val="Arial"/>
        <family val="2"/>
        <scheme val="minor"/>
      </rPr>
      <t>1,141 PLN</t>
    </r>
    <r>
      <rPr>
        <sz val="10"/>
        <color rgb="FF000000"/>
        <rFont val="Arial"/>
        <family val="2"/>
        <scheme val="minor"/>
      </rPr>
      <t>.</t>
    </r>
  </si>
  <si>
    <r>
      <rPr>
        <b/>
        <sz val="10"/>
        <color rgb="FF000000"/>
        <rFont val="Arial"/>
        <family val="2"/>
        <scheme val="minor"/>
      </rPr>
      <t>Answer to #3</t>
    </r>
    <r>
      <rPr>
        <sz val="10"/>
        <color rgb="FF000000"/>
        <rFont val="Arial"/>
        <family val="2"/>
        <scheme val="minor"/>
      </rPr>
      <t>: The most frequently sold technical condition is “</t>
    </r>
    <r>
      <rPr>
        <b/>
        <sz val="10"/>
        <color rgb="FFFF0000"/>
        <rFont val="Arial"/>
        <family val="2"/>
        <scheme val="minor"/>
      </rPr>
      <t>New</t>
    </r>
    <r>
      <rPr>
        <sz val="10"/>
        <color rgb="FF000000"/>
        <rFont val="Arial"/>
        <family val="2"/>
        <scheme val="minor"/>
      </rPr>
      <t>”. This indicates that newly built properties dominate the dataset.</t>
    </r>
  </si>
  <si>
    <r>
      <rPr>
        <b/>
        <sz val="10"/>
        <color rgb="FF000000"/>
        <rFont val="Arial"/>
        <family val="2"/>
        <scheme val="minor"/>
      </rPr>
      <t>Answer to #2</t>
    </r>
    <r>
      <rPr>
        <sz val="10"/>
        <color rgb="FF000000"/>
        <rFont val="Arial"/>
        <family val="2"/>
        <scheme val="minor"/>
      </rPr>
      <t xml:space="preserve">: </t>
    </r>
    <r>
      <rPr>
        <b/>
        <sz val="10"/>
        <color rgb="FFFF0000"/>
        <rFont val="Arial"/>
        <family val="2"/>
        <scheme val="minor"/>
      </rPr>
      <t>Studios</t>
    </r>
    <r>
      <rPr>
        <sz val="10"/>
        <color rgb="FF000000"/>
        <rFont val="Arial"/>
        <family val="2"/>
        <scheme val="minor"/>
      </rPr>
      <t xml:space="preserve"> have the highest average price in this dataset.</t>
    </r>
  </si>
  <si>
    <r>
      <rPr>
        <b/>
        <sz val="10"/>
        <color rgb="FF000000"/>
        <rFont val="Arial"/>
        <family val="2"/>
        <scheme val="minor"/>
      </rPr>
      <t>Answer to #1</t>
    </r>
    <r>
      <rPr>
        <sz val="10"/>
        <color rgb="FF000000"/>
        <rFont val="Arial"/>
        <family val="2"/>
        <scheme val="minor"/>
      </rPr>
      <t xml:space="preserve">: Based on the dataset, apartments </t>
    </r>
    <r>
      <rPr>
        <b/>
        <sz val="10"/>
        <color rgb="FFFF0000"/>
        <rFont val="Arial"/>
        <family val="2"/>
        <scheme val="minor"/>
      </rPr>
      <t>without a garage</t>
    </r>
    <r>
      <rPr>
        <sz val="10"/>
        <color rgb="FF000000"/>
        <rFont val="Arial"/>
        <family val="2"/>
        <scheme val="minor"/>
      </rPr>
      <t xml:space="preserve"> have a higher average price than those with a garage.</t>
    </r>
  </si>
  <si>
    <t>Average maintenance cost of a property</t>
  </si>
  <si>
    <t>Task 3</t>
  </si>
  <si>
    <t>Zadanie 3</t>
  </si>
  <si>
    <t>Final interpretation</t>
  </si>
  <si>
    <t>• Studios have the highest average price (around 462,000 PLN).</t>
  </si>
  <si>
    <t>• Apartments are cheaper (around 430,000 PLN).</t>
  </si>
  <si>
    <t>• Houses are priced similarly to apartments, slightly lower (around 424,000 PLN).</t>
  </si>
  <si>
    <t>Średnia (MEAN)</t>
  </si>
  <si>
    <r>
      <t xml:space="preserve">Average price </t>
    </r>
    <r>
      <rPr>
        <b/>
        <sz val="10"/>
        <color rgb="FF000000"/>
        <rFont val="Arial"/>
        <family val="2"/>
        <scheme val="minor"/>
      </rPr>
      <t>WITH garage</t>
    </r>
  </si>
  <si>
    <r>
      <t xml:space="preserve">Average price </t>
    </r>
    <r>
      <rPr>
        <b/>
        <sz val="10"/>
        <color rgb="FF000000"/>
        <rFont val="Arial"/>
        <family val="2"/>
        <scheme val="minor"/>
      </rPr>
      <t>WITHOUT garage</t>
    </r>
  </si>
  <si>
    <t>NEW</t>
  </si>
  <si>
    <t>GOOD</t>
  </si>
  <si>
    <t>POOR</t>
  </si>
  <si>
    <t>AVERAGE</t>
  </si>
  <si>
    <t>COUNTIF</t>
  </si>
  <si>
    <t>District</t>
  </si>
  <si>
    <t>Median</t>
  </si>
  <si>
    <t>Mode</t>
  </si>
  <si>
    <t>A</t>
  </si>
  <si>
    <t>B</t>
  </si>
  <si>
    <t>C</t>
  </si>
  <si>
    <t>D</t>
  </si>
  <si>
    <t>Average, Median, Mode</t>
  </si>
  <si>
    <t>Price per m²</t>
  </si>
  <si>
    <t>Max</t>
  </si>
  <si>
    <t>Min</t>
  </si>
  <si>
    <t>Range</t>
  </si>
  <si>
    <t>Standard deviation</t>
  </si>
  <si>
    <t>The range shows the difference between the highest and the lowest property price. A large range indicates strong variation in the market and the presence of very cheap and very expensive properties.</t>
  </si>
  <si>
    <t xml:space="preserve">Standard deviation describes how spread out the prices are around the mean. A high standard deviation means prices differ significantly from each other → the market is heterogeneous.
</t>
  </si>
  <si>
    <t>Interquartile Range (IQR)</t>
  </si>
  <si>
    <t>Max, Min, Range, Standard Deviation, Interquartile Range (IQR)</t>
  </si>
  <si>
    <t>Q1 (25th percentile):</t>
  </si>
  <si>
    <t>Q3 (75th percentile):</t>
  </si>
  <si>
    <t>IQR:</t>
  </si>
  <si>
    <t>IQR measures the spread of the “middle 50%” of prices. It ignores extreme values and shows how clustered most property prices are.</t>
  </si>
  <si>
    <t>Identify outliers using the 1.5 × IQR rule</t>
  </si>
  <si>
    <t>Lower bound:</t>
  </si>
  <si>
    <t>Upper bound:</t>
  </si>
  <si>
    <t>How many properties belong to each Type?</t>
  </si>
  <si>
    <r>
      <t xml:space="preserve">The overall average monthly maintenance cost is approximately </t>
    </r>
    <r>
      <rPr>
        <b/>
        <i/>
        <sz val="10"/>
        <color rgb="FF000000"/>
        <rFont val="Arial"/>
        <family val="2"/>
        <scheme val="minor"/>
      </rPr>
      <t>1,141 PLN</t>
    </r>
    <r>
      <rPr>
        <i/>
        <sz val="10"/>
        <color rgb="FF000000"/>
        <rFont val="Arial"/>
        <family val="2"/>
        <scheme val="minor"/>
      </rPr>
      <t>.</t>
    </r>
  </si>
  <si>
    <r>
      <rPr>
        <b/>
        <i/>
        <sz val="10"/>
        <color rgb="FF000000"/>
        <rFont val="Arial"/>
        <family val="2"/>
        <scheme val="minor"/>
      </rPr>
      <t>Studios</t>
    </r>
    <r>
      <rPr>
        <i/>
        <sz val="10"/>
        <color rgb="FF000000"/>
        <rFont val="Arial"/>
        <family val="2"/>
        <scheme val="minor"/>
      </rPr>
      <t xml:space="preserve"> have the highest average price in this dataset.</t>
    </r>
  </si>
  <si>
    <r>
      <t xml:space="preserve">Based on the dataset, </t>
    </r>
    <r>
      <rPr>
        <b/>
        <i/>
        <sz val="10"/>
        <color rgb="FF000000"/>
        <rFont val="Arial"/>
        <family val="2"/>
        <scheme val="minor"/>
      </rPr>
      <t>apartments without a garage</t>
    </r>
    <r>
      <rPr>
        <i/>
        <sz val="10"/>
        <color rgb="FF000000"/>
        <rFont val="Arial"/>
        <family val="2"/>
        <scheme val="minor"/>
      </rPr>
      <t xml:space="preserve"> have a higher average price than those with a garage.</t>
    </r>
  </si>
  <si>
    <r>
      <t>The most frequently sold technical condition is “</t>
    </r>
    <r>
      <rPr>
        <b/>
        <i/>
        <sz val="10"/>
        <color rgb="FF000000"/>
        <rFont val="Arial"/>
        <family val="2"/>
        <scheme val="minor"/>
      </rPr>
      <t>New</t>
    </r>
    <r>
      <rPr>
        <i/>
        <sz val="10"/>
        <color rgb="FF000000"/>
        <rFont val="Arial"/>
        <family val="2"/>
        <scheme val="minor"/>
      </rPr>
      <t>”. This indicates that newly built properties dominate the dataset.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</si>
</sst>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"/>
  </numFmts>
  <fonts count="12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1F1F1F"/>
      <name val="Arial"/>
      <family val="2"/>
      <scheme val="minor"/>
    </font>
    <font>
      <sz val="10"/>
      <color rgb="FF1F1F1F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89">
    <xf numFmtId="0" fontId="0" fillId="0" borderId="0" xfId="0"/>
    <xf numFmtId="0" fontId="1" fillId="0" borderId="0" xfId="0" applyFont="1"/>
    <xf numFmtId="4" fontId="1" fillId="0" borderId="0" xfId="0" applyNumberFormat="1" applyFont="1"/>
    <xf numFmtId="1" fontId="1" fillId="0" borderId="0" xfId="0" applyNumberFormat="1" applyFont="1"/>
    <xf numFmtId="49" fontId="1" fillId="0" borderId="0" xfId="0" applyNumberFormat="1" applyFont="1"/>
    <xf numFmtId="4" fontId="2" fillId="0" borderId="0" xfId="0" applyNumberFormat="1" applyFont="1" applyAlignment="1">
      <alignment horizontal="right"/>
    </xf>
    <xf numFmtId="49" fontId="2" fillId="0" borderId="0" xfId="0" applyNumberFormat="1" applyFont="1"/>
    <xf numFmtId="164" fontId="1" fillId="0" borderId="0" xfId="0" applyNumberFormat="1" applyFont="1"/>
    <xf numFmtId="4" fontId="2" fillId="0" borderId="0" xfId="0" applyNumberFormat="1" applyFont="1"/>
    <xf numFmtId="0" fontId="6" fillId="0" borderId="0" xfId="0" applyFont="1"/>
    <xf numFmtId="0" fontId="5" fillId="0" borderId="0" xfId="0" applyFont="1"/>
    <xf numFmtId="0" fontId="5" fillId="0" borderId="2" xfId="0" applyFont="1" applyBorder="1"/>
    <xf numFmtId="0" fontId="5" fillId="0" borderId="3" xfId="0" applyFont="1" applyBorder="1"/>
    <xf numFmtId="0" fontId="5" fillId="0" borderId="2" xfId="0" applyFont="1" applyBorder="1" applyAlignment="1">
      <alignment horizontal="left" vertical="center" indent="1"/>
    </xf>
    <xf numFmtId="0" fontId="7" fillId="0" borderId="2" xfId="0" applyFont="1" applyBorder="1"/>
    <xf numFmtId="0" fontId="8" fillId="0" borderId="2" xfId="0" applyFont="1" applyBorder="1"/>
    <xf numFmtId="0" fontId="5" fillId="0" borderId="2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 wrapText="1"/>
    </xf>
    <xf numFmtId="0" fontId="6" fillId="2" borderId="1" xfId="0" applyFont="1" applyFill="1" applyBorder="1"/>
    <xf numFmtId="0" fontId="7" fillId="2" borderId="1" xfId="0" applyFont="1" applyFill="1" applyBorder="1"/>
    <xf numFmtId="0" fontId="1" fillId="0" borderId="0" xfId="0" applyFont="1" applyAlignment="1">
      <alignment horizontal="left"/>
    </xf>
    <xf numFmtId="4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" fontId="2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4" fontId="0" fillId="0" borderId="0" xfId="1" applyNumberFormat="1" applyFont="1" applyAlignment="1">
      <alignment horizontal="left"/>
    </xf>
    <xf numFmtId="2" fontId="2" fillId="0" borderId="0" xfId="0" applyNumberFormat="1" applyFont="1" applyAlignment="1">
      <alignment horizontal="left"/>
    </xf>
    <xf numFmtId="0" fontId="0" fillId="0" borderId="0" xfId="0" pivotButton="1"/>
    <xf numFmtId="4" fontId="0" fillId="0" borderId="0" xfId="0" applyNumberFormat="1"/>
    <xf numFmtId="0" fontId="9" fillId="0" borderId="0" xfId="0" applyFont="1"/>
    <xf numFmtId="0" fontId="5" fillId="0" borderId="4" xfId="0" applyFont="1" applyBorder="1"/>
    <xf numFmtId="4" fontId="6" fillId="0" borderId="5" xfId="0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3" borderId="2" xfId="0" applyFont="1" applyFill="1" applyBorder="1" applyAlignment="1">
      <alignment vertical="center"/>
    </xf>
    <xf numFmtId="0" fontId="0" fillId="3" borderId="0" xfId="0" applyFill="1"/>
    <xf numFmtId="0" fontId="0" fillId="0" borderId="0" xfId="0" applyNumberFormat="1"/>
    <xf numFmtId="4" fontId="11" fillId="0" borderId="1" xfId="0" applyNumberFormat="1" applyFont="1" applyBorder="1"/>
    <xf numFmtId="0" fontId="6" fillId="3" borderId="0" xfId="0" applyFont="1" applyFill="1" applyAlignment="1">
      <alignment horizontal="left"/>
    </xf>
    <xf numFmtId="0" fontId="6" fillId="4" borderId="2" xfId="0" applyFont="1" applyFill="1" applyBorder="1" applyAlignment="1">
      <alignment vertical="center"/>
    </xf>
    <xf numFmtId="0" fontId="6" fillId="0" borderId="2" xfId="0" applyFont="1" applyBorder="1"/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4" fontId="0" fillId="0" borderId="0" xfId="0" applyNumberForma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0" xfId="0" applyBorder="1" applyAlignment="1">
      <alignment horizontal="left"/>
    </xf>
    <xf numFmtId="0" fontId="6" fillId="0" borderId="8" xfId="0" applyFont="1" applyBorder="1" applyAlignment="1">
      <alignment horizontal="left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0" borderId="0" xfId="0" applyFont="1" applyAlignment="1">
      <alignment horizontal="left"/>
    </xf>
    <xf numFmtId="4" fontId="4" fillId="0" borderId="0" xfId="0" applyNumberFormat="1" applyFont="1" applyAlignment="1">
      <alignment horizontal="left"/>
    </xf>
    <xf numFmtId="4" fontId="5" fillId="0" borderId="0" xfId="0" applyNumberFormat="1" applyFont="1" applyBorder="1" applyAlignment="1">
      <alignment horizontal="left" vertical="center" wrapText="1"/>
    </xf>
    <xf numFmtId="4" fontId="5" fillId="0" borderId="8" xfId="0" applyNumberFormat="1" applyFont="1" applyBorder="1" applyAlignment="1">
      <alignment horizontal="left" vertical="center" wrapText="1"/>
    </xf>
    <xf numFmtId="4" fontId="5" fillId="0" borderId="11" xfId="0" applyNumberFormat="1" applyFont="1" applyBorder="1" applyAlignment="1">
      <alignment horizontal="left" vertical="center" wrapText="1"/>
    </xf>
    <xf numFmtId="0" fontId="6" fillId="4" borderId="0" xfId="0" applyFont="1" applyFill="1" applyBorder="1" applyAlignment="1">
      <alignment horizontal="left"/>
    </xf>
    <xf numFmtId="0" fontId="5" fillId="0" borderId="7" xfId="0" applyFont="1" applyBorder="1" applyAlignment="1">
      <alignment horizontal="left"/>
    </xf>
    <xf numFmtId="4" fontId="0" fillId="0" borderId="0" xfId="0" applyNumberFormat="1" applyBorder="1" applyAlignment="1">
      <alignment horizontal="left"/>
    </xf>
    <xf numFmtId="0" fontId="5" fillId="0" borderId="8" xfId="0" applyFont="1" applyBorder="1" applyAlignment="1">
      <alignment horizontal="left"/>
    </xf>
    <xf numFmtId="4" fontId="6" fillId="4" borderId="0" xfId="0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6" fillId="0" borderId="4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4" fontId="5" fillId="0" borderId="2" xfId="0" applyNumberFormat="1" applyFont="1" applyBorder="1" applyAlignment="1">
      <alignment horizontal="left" vertical="center" wrapText="1"/>
    </xf>
    <xf numFmtId="4" fontId="5" fillId="0" borderId="3" xfId="0" applyNumberFormat="1" applyFont="1" applyBorder="1" applyAlignment="1">
      <alignment horizontal="left" vertical="center" wrapText="1"/>
    </xf>
    <xf numFmtId="0" fontId="6" fillId="0" borderId="7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3" fontId="1" fillId="0" borderId="0" xfId="1" applyNumberFormat="1" applyFont="1" applyAlignment="1">
      <alignment horizontal="left"/>
    </xf>
    <xf numFmtId="0" fontId="6" fillId="0" borderId="7" xfId="0" applyFont="1" applyBorder="1" applyAlignment="1">
      <alignment horizontal="center" vertical="center" wrapText="1"/>
    </xf>
    <xf numFmtId="0" fontId="9" fillId="0" borderId="7" xfId="0" applyFont="1" applyBorder="1"/>
    <xf numFmtId="0" fontId="6" fillId="0" borderId="7" xfId="0" applyFont="1" applyBorder="1"/>
    <xf numFmtId="0" fontId="6" fillId="0" borderId="9" xfId="0" applyFont="1" applyBorder="1"/>
    <xf numFmtId="4" fontId="0" fillId="0" borderId="10" xfId="0" applyNumberFormat="1" applyBorder="1"/>
    <xf numFmtId="0" fontId="9" fillId="0" borderId="0" xfId="0" applyFont="1" applyAlignment="1">
      <alignment horizontal="left"/>
    </xf>
  </cellXfs>
  <cellStyles count="2">
    <cellStyle name="Currency" xfId="1" builtinId="4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yyyy\-mm\-dd"/>
      <alignment horizontal="left" vertical="bottom" textRotation="0" wrapText="0" indent="0" justifyLastLine="0" shrinkToFit="0" readingOrder="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4" formatCode="#,##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Properties by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CHARTS!$P$2:$P$4</c:f>
              <c:strCache>
                <c:ptCount val="3"/>
                <c:pt idx="0">
                  <c:v>Apartment</c:v>
                </c:pt>
                <c:pt idx="1">
                  <c:v>House</c:v>
                </c:pt>
                <c:pt idx="2">
                  <c:v>Studio</c:v>
                </c:pt>
              </c:strCache>
            </c:strRef>
          </c:cat>
          <c:val>
            <c:numRef>
              <c:f>CHARTS!$O$2:$O$4</c:f>
              <c:numCache>
                <c:formatCode>General</c:formatCode>
                <c:ptCount val="3"/>
                <c:pt idx="0">
                  <c:v>31</c:v>
                </c:pt>
                <c:pt idx="1">
                  <c:v>32</c:v>
                </c:pt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50-4EA7-B38B-C63C1086014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47257808"/>
        <c:axId val="1747258288"/>
      </c:barChart>
      <c:catAx>
        <c:axId val="1747257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258288"/>
        <c:crosses val="autoZero"/>
        <c:auto val="1"/>
        <c:lblAlgn val="ctr"/>
        <c:lblOffset val="100"/>
        <c:noMultiLvlLbl val="0"/>
      </c:catAx>
      <c:valAx>
        <c:axId val="17472582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257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</cx:f>
      </cx:strDim>
      <cx:numDim type="val">
        <cx:f>_xlchart.v1.13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Histogram of Total Property Prices (PLN)</a:t>
            </a:r>
            <a:endParaRPr lang="en-US" sz="1800" b="1" i="0" u="none" strike="noStrike" baseline="0">
              <a:solidFill>
                <a:srgbClr val="000000">
                  <a:lumMod val="75000"/>
                  <a:lumOff val="25000"/>
                </a:srgbClr>
              </a:solidFill>
              <a:latin typeface="Arial"/>
              <a:cs typeface="Arial"/>
            </a:endParaRPr>
          </a:p>
        </cx:rich>
      </cx:tx>
    </cx:title>
    <cx:plotArea>
      <cx:plotAreaRegion>
        <cx:series layoutId="clusteredColumn" uniqueId="{88C1D7C0-DC97-4B62-86C8-7E053271C94D}">
          <cx:tx>
            <cx:txData>
              <cx:f>_xlchart.v1.12</cx:f>
              <cx:v>Total_Price_PLN</cx:v>
            </cx:txData>
          </cx:tx>
          <cx:dataLabels pos="outEnd">
            <cx:visibility seriesName="0" categoryName="0" value="1"/>
            <cx:separator>, </cx:separator>
          </cx:dataLabels>
          <cx:dataId val="0"/>
          <cx:layoutPr>
            <cx:binning intervalClosed="r">
              <cx:binSize val="160000"/>
            </cx:binning>
          </cx:layoutPr>
        </cx:series>
      </cx:plotAreaRegion>
      <cx:axis id="0">
        <cx:catScaling gapWidth="0"/>
        <cx:title>
          <cx:tx>
            <cx:txData>
              <cx:v>Price Range (PLN)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50" b="1" i="0" u="none" strike="noStrike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Arial"/>
                  <a:cs typeface="Arial"/>
                </a:rPr>
                <a:t>Price Range (PLN)</a:t>
              </a:r>
            </a:p>
          </cx:txPr>
        </cx:title>
        <cx:majorGridlines/>
        <cx:tickLabels/>
      </cx:axis>
      <cx:axis id="1" hidden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microsoft.com/office/2014/relationships/chartEx" Target="../charts/chartEx1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137161</xdr:colOff>
      <xdr:row>46</xdr:row>
      <xdr:rowOff>160020</xdr:rowOff>
    </xdr:from>
    <xdr:to>
      <xdr:col>4</xdr:col>
      <xdr:colOff>807721</xdr:colOff>
      <xdr:row>66</xdr:row>
      <xdr:rowOff>9949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61C80A-59EC-4EF1-2CDD-35AEF5441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1" y="8595360"/>
          <a:ext cx="5273040" cy="32027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0</xdr:row>
      <xdr:rowOff>22860</xdr:rowOff>
    </xdr:from>
    <xdr:to>
      <xdr:col>13</xdr:col>
      <xdr:colOff>7620</xdr:colOff>
      <xdr:row>25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24623C3-1116-42F4-97AC-47FD33FAD0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7220" y="22860"/>
              <a:ext cx="7315200" cy="41833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556260</xdr:colOff>
      <xdr:row>26</xdr:row>
      <xdr:rowOff>22860</xdr:rowOff>
    </xdr:from>
    <xdr:to>
      <xdr:col>12</xdr:col>
      <xdr:colOff>460108</xdr:colOff>
      <xdr:row>41</xdr:row>
      <xdr:rowOff>22546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8C8218-9322-7D95-E055-716804045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6260" y="4381500"/>
          <a:ext cx="7219048" cy="2514286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0</xdr:row>
      <xdr:rowOff>0</xdr:rowOff>
    </xdr:from>
    <xdr:to>
      <xdr:col>25</xdr:col>
      <xdr:colOff>441960</xdr:colOff>
      <xdr:row>25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C225FC6-7B08-D371-F547-9340F2AB4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601980</xdr:colOff>
      <xdr:row>26</xdr:row>
      <xdr:rowOff>38100</xdr:rowOff>
    </xdr:from>
    <xdr:to>
      <xdr:col>23</xdr:col>
      <xdr:colOff>505980</xdr:colOff>
      <xdr:row>37</xdr:row>
      <xdr:rowOff>165489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D3ABDC0-6805-296F-9CBD-D51AF3228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26780" y="4396740"/>
          <a:ext cx="6000000" cy="197142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niewicz, Grzegorz (AES)" refreshedDate="45989.571133101854" createdVersion="8" refreshedVersion="8" minRefreshableVersion="3" recordCount="100" xr:uid="{B3A9593D-BC8D-47C5-83BC-3DF8F6999533}">
  <cacheSource type="worksheet">
    <worksheetSource name="Table1"/>
  </cacheSource>
  <cacheFields count="14">
    <cacheField name="ID" numFmtId="0">
      <sharedItems containsSemiMixedTypes="0" containsString="0" containsNumber="1" containsInteger="1" minValue="1" maxValue="100"/>
    </cacheField>
    <cacheField name="Location" numFmtId="49">
      <sharedItems/>
    </cacheField>
    <cacheField name="Price_per_sqm" numFmtId="4">
      <sharedItems containsSemiMixedTypes="0" containsString="0" containsNumber="1" minValue="2380.25" maxValue="7463.24"/>
    </cacheField>
    <cacheField name="Area_sqm" numFmtId="1">
      <sharedItems containsSemiMixedTypes="0" containsString="0" containsNumber="1" containsInteger="1" minValue="30" maxValue="149"/>
    </cacheField>
    <cacheField name="Rooms" numFmtId="1">
      <sharedItems containsSemiMixedTypes="0" containsString="0" containsNumber="1" containsInteger="1" minValue="1" maxValue="5"/>
    </cacheField>
    <cacheField name="Year_Built" numFmtId="1">
      <sharedItems containsSemiMixedTypes="0" containsString="0" containsNumber="1" containsInteger="1" minValue="1950" maxValue="2022"/>
    </cacheField>
    <cacheField name="Condition" numFmtId="0">
      <sharedItems/>
    </cacheField>
    <cacheField name="Has_Garage" numFmtId="0">
      <sharedItems count="2">
        <b v="1"/>
        <b v="0"/>
      </sharedItems>
    </cacheField>
    <cacheField name="Distance_to_Center_km" numFmtId="2">
      <sharedItems/>
    </cacheField>
    <cacheField name="Monthly_Utilities_PLN" numFmtId="1">
      <sharedItems containsSemiMixedTypes="0" containsString="0" containsNumber="1" containsInteger="1" minValue="305" maxValue="1987"/>
    </cacheField>
    <cacheField name="Elevator" numFmtId="0">
      <sharedItems/>
    </cacheField>
    <cacheField name="Type" numFmtId="49">
      <sharedItems/>
    </cacheField>
    <cacheField name="Sale_Date" numFmtId="164">
      <sharedItems containsSemiMixedTypes="0" containsNonDate="0" containsDate="1" containsString="0" minDate="2018-01-25T00:00:00" maxDate="2023-12-03T00:00:00"/>
    </cacheField>
    <cacheField name="Total_Price_PLN" numFmtId="4">
      <sharedItems containsSemiMixedTypes="0" containsString="0" containsNumber="1" containsInteger="1" minValue="129944" maxValue="10066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niewicz, Grzegorz (AES)" refreshedDate="45989.574077662037" createdVersion="8" refreshedVersion="8" minRefreshableVersion="3" recordCount="1002" xr:uid="{E791803A-09F8-4D1C-9B04-56C09B2C0788}">
  <cacheSource type="worksheet">
    <worksheetSource ref="A1:N1048576" sheet="CLEAN DATA"/>
  </cacheSource>
  <cacheFields count="14">
    <cacheField name="ID" numFmtId="0">
      <sharedItems containsString="0" containsBlank="1" containsNumber="1" containsInteger="1" minValue="1" maxValue="100"/>
    </cacheField>
    <cacheField name="Location" numFmtId="0">
      <sharedItems containsBlank="1"/>
    </cacheField>
    <cacheField name="Price_per_sqm" numFmtId="0">
      <sharedItems containsString="0" containsBlank="1" containsNumber="1" minValue="2380.25" maxValue="7463.24"/>
    </cacheField>
    <cacheField name="Area_sqm" numFmtId="0">
      <sharedItems containsString="0" containsBlank="1" containsNumber="1" containsInteger="1" minValue="30" maxValue="149"/>
    </cacheField>
    <cacheField name="Rooms" numFmtId="0">
      <sharedItems containsString="0" containsBlank="1" containsNumber="1" containsInteger="1" minValue="1" maxValue="5"/>
    </cacheField>
    <cacheField name="Year_Built" numFmtId="0">
      <sharedItems containsString="0" containsBlank="1" containsNumber="1" containsInteger="1" minValue="1950" maxValue="2022"/>
    </cacheField>
    <cacheField name="Condition" numFmtId="0">
      <sharedItems containsBlank="1" count="5">
        <s v="Average"/>
        <s v="Good"/>
        <s v="Poor"/>
        <s v="New"/>
        <m/>
      </sharedItems>
    </cacheField>
    <cacheField name="Has_Garage" numFmtId="0">
      <sharedItems containsBlank="1"/>
    </cacheField>
    <cacheField name="Distance_to_Center_km" numFmtId="0">
      <sharedItems containsBlank="1"/>
    </cacheField>
    <cacheField name="Monthly_Utilities_PLN" numFmtId="0">
      <sharedItems containsString="0" containsBlank="1" containsNumber="1" containsInteger="1" minValue="305" maxValue="1987"/>
    </cacheField>
    <cacheField name="Elevator" numFmtId="0">
      <sharedItems containsBlank="1"/>
    </cacheField>
    <cacheField name="Type" numFmtId="0">
      <sharedItems containsBlank="1" count="4">
        <s v="Studio"/>
        <s v="House"/>
        <s v="Apartment"/>
        <m/>
      </sharedItems>
    </cacheField>
    <cacheField name="Sale_Date" numFmtId="0">
      <sharedItems containsNonDate="0" containsDate="1" containsString="0" containsBlank="1" minDate="2018-01-25T00:00:00" maxDate="2023-12-03T00:00:00"/>
    </cacheField>
    <cacheField name="Total_Price_PLN" numFmtId="4">
      <sharedItems containsString="0" containsBlank="1" containsNumber="1" containsInteger="1" minValue="129944" maxValue="10066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s v="Dzielnica A"/>
    <n v="4884.3500000000004"/>
    <n v="145"/>
    <n v="3"/>
    <n v="2018"/>
    <s v="Average"/>
    <x v="0"/>
    <s v="16,75"/>
    <n v="938"/>
    <b v="0"/>
    <s v="Studio"/>
    <d v="2020-04-07T00:00:00"/>
    <n v="708230"/>
  </r>
  <r>
    <n v="2"/>
    <s v="Dzielnica A"/>
    <n v="4539"/>
    <n v="30"/>
    <n v="5"/>
    <n v="1965"/>
    <s v="Good"/>
    <x v="1"/>
    <s v="3,54"/>
    <n v="773"/>
    <b v="1"/>
    <s v="Studio"/>
    <d v="2018-05-07T00:00:00"/>
    <n v="136180"/>
  </r>
  <r>
    <n v="3"/>
    <s v="Dzielnica A"/>
    <n v="6057.12"/>
    <n v="77"/>
    <n v="1"/>
    <n v="2000"/>
    <s v="Average"/>
    <x v="1"/>
    <s v="1,26"/>
    <n v="327"/>
    <b v="0"/>
    <s v="Studio"/>
    <d v="2019-08-27T00:00:00"/>
    <n v="466398"/>
  </r>
  <r>
    <n v="4"/>
    <s v="Dzielnica A"/>
    <n v="5361.4"/>
    <n v="65"/>
    <n v="1"/>
    <n v="1973"/>
    <s v="Poor"/>
    <x v="0"/>
    <s v="6,85"/>
    <n v="1954"/>
    <b v="1"/>
    <s v="Studio"/>
    <d v="2019-02-22T00:00:00"/>
    <n v="348491"/>
  </r>
  <r>
    <n v="5"/>
    <s v="Dzielnica A"/>
    <n v="5821.9"/>
    <n v="141"/>
    <n v="3"/>
    <n v="1999"/>
    <s v="Good"/>
    <x v="1"/>
    <s v="12,21"/>
    <n v="1596"/>
    <b v="0"/>
    <s v="Studio"/>
    <d v="2021-04-17T00:00:00"/>
    <n v="820887"/>
  </r>
  <r>
    <n v="6"/>
    <s v="Dzielnica A"/>
    <n v="5261.06"/>
    <n v="149"/>
    <n v="1"/>
    <n v="1983"/>
    <s v="Average"/>
    <x v="1"/>
    <s v="17,00"/>
    <n v="922"/>
    <b v="0"/>
    <s v="Studio"/>
    <d v="2021-10-15T00:00:00"/>
    <n v="783897"/>
  </r>
  <r>
    <n v="7"/>
    <s v="Dzielnica A"/>
    <n v="6402.79"/>
    <n v="59"/>
    <n v="2"/>
    <n v="1962"/>
    <s v="Average"/>
    <x v="1"/>
    <s v="1,60"/>
    <n v="1769"/>
    <b v="0"/>
    <s v="Studio"/>
    <d v="2022-01-21T00:00:00"/>
    <n v="377764"/>
  </r>
  <r>
    <n v="8"/>
    <s v="Dzielnica B"/>
    <n v="3893.67"/>
    <n v="83"/>
    <n v="2"/>
    <n v="2001"/>
    <s v="Good"/>
    <x v="0"/>
    <s v="17,69"/>
    <n v="662"/>
    <b v="0"/>
    <s v="Studio"/>
    <d v="2018-04-27T00:00:00"/>
    <n v="323174"/>
  </r>
  <r>
    <n v="9"/>
    <s v="Dzielnica B"/>
    <n v="2380.25"/>
    <n v="128"/>
    <n v="2"/>
    <n v="1961"/>
    <s v="Average"/>
    <x v="1"/>
    <s v="16,04"/>
    <n v="1362"/>
    <b v="0"/>
    <s v="Studio"/>
    <d v="2020-02-02T00:00:00"/>
    <n v="304672"/>
  </r>
  <r>
    <n v="10"/>
    <s v="Dzielnica B"/>
    <n v="4470.24"/>
    <n v="70"/>
    <n v="4"/>
    <n v="1993"/>
    <s v="New"/>
    <x v="1"/>
    <s v="14,80"/>
    <n v="366"/>
    <b v="0"/>
    <s v="Studio"/>
    <d v="2022-02-01T00:00:00"/>
    <n v="312916"/>
  </r>
  <r>
    <n v="11"/>
    <s v="Dzielnica B"/>
    <n v="5513.27"/>
    <n v="129"/>
    <n v="2"/>
    <n v="1978"/>
    <s v="Average"/>
    <x v="1"/>
    <s v="11,40"/>
    <n v="532"/>
    <b v="0"/>
    <s v="Studio"/>
    <d v="2020-08-24T00:00:00"/>
    <n v="711211"/>
  </r>
  <r>
    <n v="12"/>
    <s v="Dzielnica B"/>
    <n v="3081.23"/>
    <n v="139"/>
    <n v="5"/>
    <n v="1985"/>
    <s v="New"/>
    <x v="0"/>
    <s v="14,26"/>
    <n v="1176"/>
    <b v="1"/>
    <s v="Studio"/>
    <d v="2021-10-26T00:00:00"/>
    <n v="428290"/>
  </r>
  <r>
    <n v="13"/>
    <s v="Dzielnica B"/>
    <n v="4973.49"/>
    <n v="59"/>
    <n v="4"/>
    <n v="1973"/>
    <s v="New"/>
    <x v="1"/>
    <s v="4,42"/>
    <n v="1700"/>
    <b v="1"/>
    <s v="Studio"/>
    <d v="2018-07-13T00:00:00"/>
    <n v="293435"/>
  </r>
  <r>
    <n v="14"/>
    <s v="Dzielnica B"/>
    <n v="7463.24"/>
    <n v="131"/>
    <n v="4"/>
    <n v="2011"/>
    <s v="Poor"/>
    <x v="0"/>
    <s v="8,82"/>
    <n v="1760"/>
    <b v="1"/>
    <s v="Studio"/>
    <d v="2021-02-10T00:00:00"/>
    <n v="977684"/>
  </r>
  <r>
    <n v="15"/>
    <s v="Dzielnica B"/>
    <n v="4009.46"/>
    <n v="93"/>
    <n v="5"/>
    <n v="1961"/>
    <s v="Poor"/>
    <x v="0"/>
    <s v="17,99"/>
    <n v="1122"/>
    <b v="0"/>
    <s v="Studio"/>
    <d v="2022-12-29T00:00:00"/>
    <n v="372879"/>
  </r>
  <r>
    <n v="16"/>
    <s v="Dzielnica B"/>
    <n v="5473.59"/>
    <n v="64"/>
    <n v="1"/>
    <n v="1965"/>
    <s v="Poor"/>
    <x v="0"/>
    <s v="10,72"/>
    <n v="528"/>
    <b v="0"/>
    <s v="Studio"/>
    <d v="2022-11-26T00:00:00"/>
    <n v="350309"/>
  </r>
  <r>
    <n v="17"/>
    <s v="Dzielnica B"/>
    <n v="4080.58"/>
    <n v="93"/>
    <n v="2"/>
    <n v="2018"/>
    <s v="New"/>
    <x v="1"/>
    <s v="3,98"/>
    <n v="847"/>
    <b v="0"/>
    <s v="Studio"/>
    <d v="2018-11-24T00:00:00"/>
    <n v="379493"/>
  </r>
  <r>
    <n v="18"/>
    <s v="Dzielnica C"/>
    <n v="3012.43"/>
    <n v="122"/>
    <n v="4"/>
    <n v="2010"/>
    <s v="New"/>
    <x v="1"/>
    <s v="13,15"/>
    <n v="425"/>
    <b v="0"/>
    <s v="Studio"/>
    <d v="2023-06-14T00:00:00"/>
    <n v="367516"/>
  </r>
  <r>
    <n v="19"/>
    <s v="Dzielnica C"/>
    <n v="4780.33"/>
    <n v="47"/>
    <n v="2"/>
    <n v="2000"/>
    <s v="Good"/>
    <x v="1"/>
    <s v="16,30"/>
    <n v="1111"/>
    <b v="1"/>
    <s v="Studio"/>
    <d v="2021-04-18T00:00:00"/>
    <n v="224675"/>
  </r>
  <r>
    <n v="20"/>
    <s v="Dzielnica C"/>
    <n v="5357.11"/>
    <n v="139"/>
    <n v="1"/>
    <n v="1992"/>
    <s v="Average"/>
    <x v="1"/>
    <s v="18,16"/>
    <n v="836"/>
    <b v="1"/>
    <s v="Studio"/>
    <d v="2019-12-11T00:00:00"/>
    <n v="744638"/>
  </r>
  <r>
    <n v="21"/>
    <s v="Dzielnica C"/>
    <n v="4838.71"/>
    <n v="105"/>
    <n v="5"/>
    <n v="1985"/>
    <s v="Good"/>
    <x v="0"/>
    <s v="12,01"/>
    <n v="1841"/>
    <b v="1"/>
    <s v="Studio"/>
    <d v="2023-09-11T00:00:00"/>
    <n v="508064"/>
  </r>
  <r>
    <n v="22"/>
    <s v="Dzielnica C"/>
    <n v="5791.03"/>
    <n v="127"/>
    <n v="3"/>
    <n v="1966"/>
    <s v="Average"/>
    <x v="0"/>
    <s v="7,56"/>
    <n v="1673"/>
    <b v="0"/>
    <s v="Studio"/>
    <d v="2020-03-10T00:00:00"/>
    <n v="735460"/>
  </r>
  <r>
    <n v="23"/>
    <s v="Dzielnica C"/>
    <n v="7190.46"/>
    <n v="140"/>
    <n v="2"/>
    <n v="1998"/>
    <s v="New"/>
    <x v="1"/>
    <s v="7,76"/>
    <n v="1987"/>
    <b v="0"/>
    <s v="Studio"/>
    <d v="2018-02-24T00:00:00"/>
    <n v="1006664"/>
  </r>
  <r>
    <n v="24"/>
    <s v="Dzielnica D"/>
    <n v="4160.78"/>
    <n v="48"/>
    <n v="3"/>
    <n v="1988"/>
    <s v="Average"/>
    <x v="0"/>
    <s v="8,18"/>
    <n v="1182"/>
    <b v="0"/>
    <s v="Studio"/>
    <d v="2023-01-29T00:00:00"/>
    <n v="199717"/>
  </r>
  <r>
    <n v="25"/>
    <s v="Dzielnica D"/>
    <n v="5331.26"/>
    <n v="109"/>
    <n v="1"/>
    <n v="1972"/>
    <s v="Average"/>
    <x v="0"/>
    <s v="4,90"/>
    <n v="1326"/>
    <b v="1"/>
    <s v="Studio"/>
    <d v="2020-07-24T00:00:00"/>
    <n v="581107"/>
  </r>
  <r>
    <n v="26"/>
    <s v="Dzielnica D"/>
    <n v="3803.79"/>
    <n v="149"/>
    <n v="2"/>
    <n v="1959"/>
    <s v="Poor"/>
    <x v="0"/>
    <s v="15,38"/>
    <n v="1831"/>
    <b v="0"/>
    <s v="Studio"/>
    <d v="2020-07-25T00:00:00"/>
    <n v="566764"/>
  </r>
  <r>
    <n v="27"/>
    <s v="Dzielnica D"/>
    <n v="5812.53"/>
    <n v="62"/>
    <n v="3"/>
    <n v="1968"/>
    <s v="New"/>
    <x v="0"/>
    <s v="1,89"/>
    <n v="1597"/>
    <b v="0"/>
    <s v="Studio"/>
    <d v="2019-07-29T00:00:00"/>
    <n v="360376"/>
  </r>
  <r>
    <n v="28"/>
    <s v="Dzielnica D"/>
    <n v="4354.88"/>
    <n v="101"/>
    <n v="1"/>
    <n v="1965"/>
    <s v="New"/>
    <x v="1"/>
    <s v="16,80"/>
    <n v="1515"/>
    <b v="0"/>
    <s v="Studio"/>
    <d v="2019-04-20T00:00:00"/>
    <n v="439842"/>
  </r>
  <r>
    <n v="29"/>
    <s v="Dzielnica D"/>
    <n v="5087.05"/>
    <n v="118"/>
    <n v="2"/>
    <n v="1984"/>
    <s v="Good"/>
    <x v="1"/>
    <s v="10,12"/>
    <n v="1554"/>
    <b v="0"/>
    <s v="Studio"/>
    <d v="2021-04-20T00:00:00"/>
    <n v="600271"/>
  </r>
  <r>
    <n v="30"/>
    <s v="Dzielnica D"/>
    <n v="4481.7299999999996"/>
    <n v="95"/>
    <n v="5"/>
    <n v="2016"/>
    <s v="Poor"/>
    <x v="1"/>
    <s v="19,63"/>
    <n v="1848"/>
    <b v="1"/>
    <s v="Studio"/>
    <d v="2021-03-30T00:00:00"/>
    <n v="425764"/>
  </r>
  <r>
    <n v="31"/>
    <s v="Dzielnica D"/>
    <n v="4191.51"/>
    <n v="83"/>
    <n v="4"/>
    <n v="2014"/>
    <s v="New"/>
    <x v="1"/>
    <s v="12,55"/>
    <n v="1535"/>
    <b v="1"/>
    <s v="Studio"/>
    <d v="2018-10-12T00:00:00"/>
    <n v="347895"/>
  </r>
  <r>
    <n v="32"/>
    <s v="Dzielnica D"/>
    <n v="5296.12"/>
    <n v="49"/>
    <n v="2"/>
    <n v="1975"/>
    <s v="Poor"/>
    <x v="1"/>
    <s v="9,73"/>
    <n v="333"/>
    <b v="1"/>
    <s v="Studio"/>
    <d v="2022-09-21T00:00:00"/>
    <n v="259509"/>
  </r>
  <r>
    <n v="33"/>
    <s v="Dzielnica D"/>
    <n v="3831.32"/>
    <n v="37"/>
    <n v="2"/>
    <n v="1962"/>
    <s v="Poor"/>
    <x v="1"/>
    <s v="12,44"/>
    <n v="1826"/>
    <b v="0"/>
    <s v="Studio"/>
    <d v="2020-04-10T00:00:00"/>
    <n v="141758"/>
  </r>
  <r>
    <n v="34"/>
    <s v="Dzielnica D"/>
    <n v="4090.61"/>
    <n v="50"/>
    <n v="4"/>
    <n v="2011"/>
    <s v="New"/>
    <x v="1"/>
    <s v="7,60"/>
    <n v="1142"/>
    <b v="1"/>
    <s v="Studio"/>
    <d v="2020-02-17T00:00:00"/>
    <n v="204530"/>
  </r>
  <r>
    <n v="35"/>
    <s v="Dzielnica D"/>
    <n v="3598.15"/>
    <n v="126"/>
    <n v="2"/>
    <n v="2008"/>
    <s v="New"/>
    <x v="1"/>
    <s v="11,43"/>
    <n v="649"/>
    <b v="1"/>
    <s v="Studio"/>
    <d v="2023-03-17T00:00:00"/>
    <n v="453366"/>
  </r>
  <r>
    <n v="36"/>
    <s v="Dzielnica D"/>
    <n v="5099.6499999999996"/>
    <n v="98"/>
    <n v="4"/>
    <n v="1968"/>
    <s v="New"/>
    <x v="0"/>
    <s v="7,27"/>
    <n v="1058"/>
    <b v="1"/>
    <s v="Studio"/>
    <d v="2020-04-12T00:00:00"/>
    <n v="499765"/>
  </r>
  <r>
    <n v="37"/>
    <s v="Dzielnica D"/>
    <n v="4677.9399999999996"/>
    <n v="73"/>
    <n v="5"/>
    <n v="2001"/>
    <s v="Good"/>
    <x v="0"/>
    <s v="17,50"/>
    <n v="305"/>
    <b v="1"/>
    <s v="Studio"/>
    <d v="2021-01-16T00:00:00"/>
    <n v="341489"/>
  </r>
  <r>
    <n v="38"/>
    <s v="Dzielnica A"/>
    <n v="5931.28"/>
    <n v="128"/>
    <n v="1"/>
    <n v="1997"/>
    <s v="Average"/>
    <x v="1"/>
    <s v="15,38"/>
    <n v="1635"/>
    <b v="1"/>
    <s v="House"/>
    <d v="2021-04-20T00:00:00"/>
    <n v="759203"/>
  </r>
  <r>
    <n v="39"/>
    <s v="Dzielnica A"/>
    <n v="6538.04"/>
    <n v="67"/>
    <n v="3"/>
    <n v="1951"/>
    <s v="Good"/>
    <x v="0"/>
    <s v="16,51"/>
    <n v="784"/>
    <b v="0"/>
    <s v="House"/>
    <d v="2020-07-27T00:00:00"/>
    <n v="438048"/>
  </r>
  <r>
    <n v="40"/>
    <s v="Dzielnica A"/>
    <n v="4700.99"/>
    <n v="128"/>
    <n v="1"/>
    <n v="1982"/>
    <s v="New"/>
    <x v="1"/>
    <s v="8,99"/>
    <n v="385"/>
    <b v="0"/>
    <s v="House"/>
    <d v="2019-10-26T00:00:00"/>
    <n v="601726"/>
  </r>
  <r>
    <n v="41"/>
    <s v="Dzielnica A"/>
    <n v="5091.76"/>
    <n v="54"/>
    <n v="5"/>
    <n v="1982"/>
    <s v="New"/>
    <x v="1"/>
    <s v="15,91"/>
    <n v="1797"/>
    <b v="1"/>
    <s v="House"/>
    <d v="2018-01-25T00:00:00"/>
    <n v="274955"/>
  </r>
  <r>
    <n v="42"/>
    <s v="Dzielnica A"/>
    <n v="4657.29"/>
    <n v="36"/>
    <n v="2"/>
    <n v="2017"/>
    <s v="New"/>
    <x v="1"/>
    <s v="2,26"/>
    <n v="1047"/>
    <b v="0"/>
    <s v="House"/>
    <d v="2022-11-28T00:00:00"/>
    <n v="171554"/>
  </r>
  <r>
    <n v="43"/>
    <s v="Dzielnica A"/>
    <n v="4657.29"/>
    <n v="62"/>
    <n v="5"/>
    <n v="1985"/>
    <s v="Average"/>
    <x v="0"/>
    <s v="7,60"/>
    <n v="724"/>
    <b v="1"/>
    <s v="House"/>
    <d v="2020-08-09T00:00:00"/>
    <n v="288751"/>
  </r>
  <r>
    <n v="44"/>
    <s v="Dzielnica A"/>
    <n v="5174.58"/>
    <n v="115"/>
    <n v="4"/>
    <n v="1973"/>
    <s v="Average"/>
    <x v="1"/>
    <s v="9,74"/>
    <n v="1643"/>
    <b v="1"/>
    <s v="House"/>
    <d v="2018-10-13T00:00:00"/>
    <n v="595076"/>
  </r>
  <r>
    <n v="45"/>
    <s v="Dzielnica B"/>
    <n v="3236.96"/>
    <n v="98"/>
    <n v="3"/>
    <n v="1978"/>
    <s v="Average"/>
    <x v="0"/>
    <s v="14,14"/>
    <n v="1539"/>
    <b v="0"/>
    <s v="House"/>
    <d v="2020-10-10T00:00:00"/>
    <n v="317222"/>
  </r>
  <r>
    <n v="46"/>
    <s v="Dzielnica B"/>
    <n v="4520.83"/>
    <n v="49"/>
    <n v="2"/>
    <n v="2018"/>
    <s v="New"/>
    <x v="0"/>
    <s v="6,22"/>
    <n v="1218"/>
    <b v="0"/>
    <s v="House"/>
    <d v="2021-08-25T00:00:00"/>
    <n v="221520"/>
  </r>
  <r>
    <n v="47"/>
    <s v="Dzielnica B"/>
    <n v="6477.89"/>
    <n v="111"/>
    <n v="4"/>
    <n v="1961"/>
    <s v="Poor"/>
    <x v="0"/>
    <s v="12,73"/>
    <n v="444"/>
    <b v="0"/>
    <s v="House"/>
    <d v="2023-02-23T00:00:00"/>
    <n v="719045"/>
  </r>
  <r>
    <n v="48"/>
    <s v="Dzielnica B"/>
    <n v="5968.64"/>
    <n v="97"/>
    <n v="3"/>
    <n v="1961"/>
    <s v="New"/>
    <x v="1"/>
    <s v="18,30"/>
    <n v="1469"/>
    <b v="1"/>
    <s v="House"/>
    <d v="2021-01-12T00:00:00"/>
    <n v="578958"/>
  </r>
  <r>
    <n v="49"/>
    <s v="Dzielnica B"/>
    <n v="5404.05"/>
    <n v="88"/>
    <n v="4"/>
    <n v="1959"/>
    <s v="Good"/>
    <x v="1"/>
    <s v="7,49"/>
    <n v="991"/>
    <b v="1"/>
    <s v="House"/>
    <d v="2019-03-05T00:00:00"/>
    <n v="475556"/>
  </r>
  <r>
    <n v="50"/>
    <s v="Dzielnica B"/>
    <n v="4496.5200000000004"/>
    <n v="90"/>
    <n v="5"/>
    <n v="1958"/>
    <s v="Average"/>
    <x v="0"/>
    <s v="7,11"/>
    <n v="1198"/>
    <b v="1"/>
    <s v="House"/>
    <d v="2018-11-09T00:00:00"/>
    <n v="404686"/>
  </r>
  <r>
    <n v="51"/>
    <s v="Dzielnica B"/>
    <n v="3937.7"/>
    <n v="33"/>
    <n v="2"/>
    <n v="2001"/>
    <s v="New"/>
    <x v="1"/>
    <s v="14,07"/>
    <n v="1363"/>
    <b v="0"/>
    <s v="House"/>
    <d v="2023-06-30T00:00:00"/>
    <n v="129944"/>
  </r>
  <r>
    <n v="52"/>
    <s v="Dzielnica B"/>
    <n v="6549.93"/>
    <n v="78"/>
    <n v="1"/>
    <n v="1961"/>
    <s v="Good"/>
    <x v="1"/>
    <s v="8,17"/>
    <n v="1219"/>
    <b v="1"/>
    <s v="House"/>
    <d v="2021-07-11T00:00:00"/>
    <n v="510894"/>
  </r>
  <r>
    <n v="53"/>
    <s v="Dzielnica B"/>
    <n v="4216.75"/>
    <n v="46"/>
    <n v="5"/>
    <n v="1974"/>
    <s v="New"/>
    <x v="0"/>
    <s v="1,05"/>
    <n v="1546"/>
    <b v="0"/>
    <s v="House"/>
    <d v="2023-11-14T00:00:00"/>
    <n v="193970"/>
  </r>
  <r>
    <n v="54"/>
    <s v="Dzielnica B"/>
    <n v="5813.52"/>
    <n v="121"/>
    <n v="1"/>
    <n v="2002"/>
    <s v="Good"/>
    <x v="0"/>
    <s v="2,61"/>
    <n v="1645"/>
    <b v="1"/>
    <s v="House"/>
    <d v="2021-08-04T00:00:00"/>
    <n v="703435"/>
  </r>
  <r>
    <n v="55"/>
    <s v="Dzielnica C"/>
    <n v="5738.47"/>
    <n v="119"/>
    <n v="5"/>
    <n v="2013"/>
    <s v="Poor"/>
    <x v="0"/>
    <s v="15,24"/>
    <n v="1018"/>
    <b v="0"/>
    <s v="House"/>
    <d v="2020-09-11T00:00:00"/>
    <n v="682877"/>
  </r>
  <r>
    <n v="56"/>
    <s v="Dzielnica C"/>
    <n v="5343.62"/>
    <n v="41"/>
    <n v="5"/>
    <n v="2006"/>
    <s v="Good"/>
    <x v="0"/>
    <s v="2,43"/>
    <n v="377"/>
    <b v="0"/>
    <s v="House"/>
    <d v="2023-04-13T00:00:00"/>
    <n v="219088"/>
  </r>
  <r>
    <n v="57"/>
    <s v="Dzielnica C"/>
    <n v="5738.47"/>
    <n v="66"/>
    <n v="4"/>
    <n v="2018"/>
    <s v="Good"/>
    <x v="1"/>
    <s v="11,15"/>
    <n v="1709"/>
    <b v="1"/>
    <s v="House"/>
    <d v="2018-02-20T00:00:00"/>
    <n v="351389"/>
  </r>
  <r>
    <n v="58"/>
    <s v="Dzielnica C"/>
    <n v="5611.68"/>
    <n v="38"/>
    <n v="5"/>
    <n v="2018"/>
    <s v="Average"/>
    <x v="0"/>
    <s v="12,12"/>
    <n v="825"/>
    <b v="0"/>
    <s v="House"/>
    <d v="2022-06-25T00:00:00"/>
    <n v="213243"/>
  </r>
  <r>
    <n v="59"/>
    <s v="Dzielnica C"/>
    <n v="5328.75"/>
    <n v="90"/>
    <n v="3"/>
    <n v="1992"/>
    <s v="Poor"/>
    <x v="1"/>
    <s v="2,73"/>
    <n v="1717"/>
    <b v="0"/>
    <s v="House"/>
    <d v="2019-10-24T00:00:00"/>
    <n v="479587"/>
  </r>
  <r>
    <n v="60"/>
    <s v="Dzielnica C"/>
    <n v="3584.63"/>
    <n v="96"/>
    <n v="3"/>
    <n v="2007"/>
    <s v="Poor"/>
    <x v="0"/>
    <s v="1,87"/>
    <n v="894"/>
    <b v="1"/>
    <s v="House"/>
    <d v="2022-10-26T00:00:00"/>
    <n v="344124"/>
  </r>
  <r>
    <n v="61"/>
    <s v="Dzielnica C"/>
    <n v="4579.3500000000004"/>
    <n v="46"/>
    <n v="4"/>
    <n v="1978"/>
    <s v="Good"/>
    <x v="0"/>
    <s v="12,80"/>
    <n v="1877"/>
    <b v="1"/>
    <s v="House"/>
    <d v="2020-09-16T00:00:00"/>
    <n v="210650"/>
  </r>
  <r>
    <n v="62"/>
    <s v="Dzielnica C"/>
    <n v="5586.86"/>
    <n v="57"/>
    <n v="5"/>
    <n v="1968"/>
    <s v="Average"/>
    <x v="1"/>
    <s v="11,15"/>
    <n v="1930"/>
    <b v="1"/>
    <s v="House"/>
    <d v="2023-11-05T00:00:00"/>
    <n v="318451"/>
  </r>
  <r>
    <n v="63"/>
    <s v="Dzielnica D"/>
    <n v="5171.37"/>
    <n v="141"/>
    <n v="5"/>
    <n v="2012"/>
    <s v="New"/>
    <x v="1"/>
    <s v="8,47"/>
    <n v="602"/>
    <b v="1"/>
    <s v="House"/>
    <d v="2022-06-28T00:00:00"/>
    <n v="729163"/>
  </r>
  <r>
    <n v="64"/>
    <s v="Dzielnica D"/>
    <n v="4690.79"/>
    <n v="77"/>
    <n v="2"/>
    <n v="1982"/>
    <s v="Good"/>
    <x v="1"/>
    <s v="5,58"/>
    <n v="1330"/>
    <b v="0"/>
    <s v="House"/>
    <d v="2019-07-21T00:00:00"/>
    <n v="361190"/>
  </r>
  <r>
    <n v="65"/>
    <s v="Dzielnica D"/>
    <n v="4964.17"/>
    <n v="133"/>
    <n v="5"/>
    <n v="1981"/>
    <s v="New"/>
    <x v="0"/>
    <s v="19,39"/>
    <n v="327"/>
    <b v="1"/>
    <s v="House"/>
    <d v="2020-08-12T00:00:00"/>
    <n v="660234"/>
  </r>
  <r>
    <n v="66"/>
    <s v="Dzielnica D"/>
    <n v="5257.55"/>
    <n v="148"/>
    <n v="5"/>
    <n v="2013"/>
    <s v="Good"/>
    <x v="1"/>
    <s v="12,11"/>
    <n v="1766"/>
    <b v="0"/>
    <s v="House"/>
    <d v="2023-08-28T00:00:00"/>
    <n v="778117"/>
  </r>
  <r>
    <n v="67"/>
    <s v="Dzielnica D"/>
    <n v="5751.93"/>
    <n v="56"/>
    <n v="1"/>
    <n v="1979"/>
    <s v="New"/>
    <x v="0"/>
    <s v="16,61"/>
    <n v="815"/>
    <b v="0"/>
    <s v="House"/>
    <d v="2018-02-24T00:00:00"/>
    <n v="322108"/>
  </r>
  <r>
    <n v="68"/>
    <s v="Dzielnica D"/>
    <n v="3449.34"/>
    <n v="77"/>
    <n v="1"/>
    <n v="2020"/>
    <s v="Poor"/>
    <x v="1"/>
    <s v="2,75"/>
    <n v="542"/>
    <b v="0"/>
    <s v="House"/>
    <d v="2023-02-02T00:00:00"/>
    <n v="265599"/>
  </r>
  <r>
    <n v="69"/>
    <s v="Dzielnica D"/>
    <n v="5099.6499999999996"/>
    <n v="48"/>
    <n v="2"/>
    <n v="1977"/>
    <s v="New"/>
    <x v="0"/>
    <s v="10,14"/>
    <n v="842"/>
    <b v="0"/>
    <s v="House"/>
    <d v="2023-07-01T00:00:00"/>
    <n v="243290"/>
  </r>
  <r>
    <n v="70"/>
    <s v="Dzielnica A"/>
    <n v="4814.34"/>
    <n v="53"/>
    <n v="3"/>
    <n v="1983"/>
    <s v="Good"/>
    <x v="1"/>
    <s v="4,94"/>
    <n v="1049"/>
    <b v="1"/>
    <s v="Apartment"/>
    <d v="2018-07-21T00:00:00"/>
    <n v="255160"/>
  </r>
  <r>
    <n v="71"/>
    <s v="Dzielnica A"/>
    <n v="4197.72"/>
    <n v="77"/>
    <n v="1"/>
    <n v="1970"/>
    <s v="Average"/>
    <x v="0"/>
    <s v="4,97"/>
    <n v="912"/>
    <b v="1"/>
    <s v="Apartment"/>
    <d v="2019-12-24T00:00:00"/>
    <n v="323224"/>
  </r>
  <r>
    <n v="72"/>
    <s v="Dzielnica A"/>
    <n v="5060.2299999999996"/>
    <n v="67"/>
    <n v="3"/>
    <n v="1972"/>
    <s v="Good"/>
    <x v="0"/>
    <s v="14,23"/>
    <n v="1612"/>
    <b v="0"/>
    <s v="Apartment"/>
    <d v="2020-09-14T00:00:00"/>
    <n v="339035"/>
  </r>
  <r>
    <n v="73"/>
    <s v="Dzielnica A"/>
    <n v="4807.6400000000003"/>
    <n v="138"/>
    <n v="5"/>
    <n v="1986"/>
    <s v="Good"/>
    <x v="1"/>
    <s v="17,61"/>
    <n v="961"/>
    <b v="1"/>
    <s v="Apartment"/>
    <d v="2023-12-02T00:00:00"/>
    <n v="663454"/>
  </r>
  <r>
    <n v="74"/>
    <s v="Dzielnica A"/>
    <n v="4433.7"/>
    <n v="126"/>
    <n v="1"/>
    <n v="2010"/>
    <s v="Good"/>
    <x v="0"/>
    <s v="3,45"/>
    <n v="1460"/>
    <b v="1"/>
    <s v="Apartment"/>
    <d v="2021-04-16T00:00:00"/>
    <n v="558646"/>
  </r>
  <r>
    <n v="75"/>
    <s v="Dzielnica A"/>
    <n v="3769.14"/>
    <n v="59"/>
    <n v="5"/>
    <n v="1972"/>
    <s v="Poor"/>
    <x v="0"/>
    <s v="12,35"/>
    <n v="767"/>
    <b v="1"/>
    <s v="Apartment"/>
    <d v="2019-03-28T00:00:00"/>
    <n v="222379"/>
  </r>
  <r>
    <n v="76"/>
    <s v="Dzielnica B"/>
    <n v="6356.24"/>
    <n v="53"/>
    <n v="2"/>
    <n v="2007"/>
    <s v="New"/>
    <x v="0"/>
    <s v="6,10"/>
    <n v="1829"/>
    <b v="0"/>
    <s v="Apartment"/>
    <d v="2019-06-21T00:00:00"/>
    <n v="336880"/>
  </r>
  <r>
    <n v="77"/>
    <s v="Dzielnica B"/>
    <n v="4927.99"/>
    <n v="145"/>
    <n v="2"/>
    <n v="1950"/>
    <s v="Good"/>
    <x v="1"/>
    <s v="1,42"/>
    <n v="1105"/>
    <b v="1"/>
    <s v="Apartment"/>
    <d v="2022-06-14T00:00:00"/>
    <n v="714558"/>
  </r>
  <r>
    <n v="78"/>
    <s v="Dzielnica B"/>
    <n v="6003.53"/>
    <n v="104"/>
    <n v="2"/>
    <n v="2018"/>
    <s v="Average"/>
    <x v="1"/>
    <s v="10,47"/>
    <n v="1038"/>
    <b v="0"/>
    <s v="Apartment"/>
    <d v="2023-10-24T00:00:00"/>
    <n v="624367"/>
  </r>
  <r>
    <n v="79"/>
    <s v="Dzielnica B"/>
    <n v="6564.64"/>
    <n v="113"/>
    <n v="2"/>
    <n v="1973"/>
    <s v="Good"/>
    <x v="1"/>
    <s v="2,68"/>
    <n v="1013"/>
    <b v="1"/>
    <s v="Apartment"/>
    <d v="2020-05-25T00:00:00"/>
    <n v="741804"/>
  </r>
  <r>
    <n v="80"/>
    <s v="Dzielnica B"/>
    <n v="4973.49"/>
    <n v="51"/>
    <n v="4"/>
    <n v="1998"/>
    <s v="Average"/>
    <x v="0"/>
    <s v="8,61"/>
    <n v="614"/>
    <b v="0"/>
    <s v="Apartment"/>
    <d v="2020-02-08T00:00:00"/>
    <n v="251203"/>
  </r>
  <r>
    <n v="81"/>
    <s v="Dzielnica B"/>
    <n v="5301.55"/>
    <n v="80"/>
    <n v="2"/>
    <n v="1961"/>
    <s v="Good"/>
    <x v="1"/>
    <s v="10,79"/>
    <n v="576"/>
    <b v="1"/>
    <s v="Apartment"/>
    <d v="2022-08-29T00:00:00"/>
    <n v="424124"/>
  </r>
  <r>
    <n v="82"/>
    <s v="Dzielnica C"/>
    <n v="4698.8999999999996"/>
    <n v="89"/>
    <n v="4"/>
    <n v="1971"/>
    <s v="New"/>
    <x v="0"/>
    <s v="11,81"/>
    <n v="355"/>
    <b v="1"/>
    <s v="Apartment"/>
    <d v="2018-12-22T00:00:00"/>
    <n v="418202"/>
  </r>
  <r>
    <n v="83"/>
    <s v="Dzielnica C"/>
    <n v="3521.48"/>
    <n v="142"/>
    <n v="1"/>
    <n v="2016"/>
    <s v="New"/>
    <x v="0"/>
    <s v="2,21"/>
    <n v="1025"/>
    <b v="0"/>
    <s v="Apartment"/>
    <d v="2021-09-09T00:00:00"/>
    <n v="500050"/>
  </r>
  <r>
    <n v="84"/>
    <s v="Dzielnica C"/>
    <n v="4614.92"/>
    <n v="61"/>
    <n v="1"/>
    <n v="1996"/>
    <s v="New"/>
    <x v="0"/>
    <s v="15,25"/>
    <n v="664"/>
    <b v="0"/>
    <s v="Apartment"/>
    <d v="2021-12-01T00:00:00"/>
    <n v="281510"/>
  </r>
  <r>
    <n v="85"/>
    <s v="Dzielnica C"/>
    <n v="4323.08"/>
    <n v="148"/>
    <n v="4"/>
    <n v="2011"/>
    <s v="Average"/>
    <x v="1"/>
    <s v="18,35"/>
    <n v="965"/>
    <b v="1"/>
    <s v="Apartment"/>
    <d v="2022-11-28T00:00:00"/>
    <n v="639815"/>
  </r>
  <r>
    <n v="86"/>
    <s v="Dzielnica C"/>
    <n v="5975.55"/>
    <n v="32"/>
    <n v="2"/>
    <n v="1959"/>
    <s v="Poor"/>
    <x v="0"/>
    <s v="5,78"/>
    <n v="1946"/>
    <b v="1"/>
    <s v="Apartment"/>
    <d v="2023-04-19T00:00:00"/>
    <n v="191217"/>
  </r>
  <r>
    <n v="87"/>
    <s v="Dzielnica C"/>
    <n v="5097.08"/>
    <n v="62"/>
    <n v="2"/>
    <n v="1962"/>
    <s v="Average"/>
    <x v="1"/>
    <s v="9,57"/>
    <n v="408"/>
    <b v="0"/>
    <s v="Apartment"/>
    <d v="2020-04-28T00:00:00"/>
    <n v="316018"/>
  </r>
  <r>
    <n v="88"/>
    <s v="Dzielnica C"/>
    <n v="4297.95"/>
    <n v="62"/>
    <n v="1"/>
    <n v="1995"/>
    <s v="New"/>
    <x v="1"/>
    <s v="6,66"/>
    <n v="410"/>
    <b v="1"/>
    <s v="Apartment"/>
    <d v="2019-11-20T00:00:00"/>
    <n v="266472"/>
  </r>
  <r>
    <n v="89"/>
    <s v="Dzielnica C"/>
    <n v="4607.8900000000003"/>
    <n v="50"/>
    <n v="5"/>
    <n v="1984"/>
    <s v="Poor"/>
    <x v="0"/>
    <s v="14,26"/>
    <n v="410"/>
    <b v="0"/>
    <s v="Apartment"/>
    <d v="2018-12-08T00:00:00"/>
    <n v="230394"/>
  </r>
  <r>
    <n v="90"/>
    <s v="Dzielnica C"/>
    <n v="5005.1099999999997"/>
    <n v="37"/>
    <n v="4"/>
    <n v="1956"/>
    <s v="Average"/>
    <x v="0"/>
    <s v="15,61"/>
    <n v="1692"/>
    <b v="0"/>
    <s v="Apartment"/>
    <d v="2018-11-23T00:00:00"/>
    <n v="185189"/>
  </r>
  <r>
    <n v="91"/>
    <s v="Dzielnica C"/>
    <n v="6142.82"/>
    <n v="56"/>
    <n v="3"/>
    <n v="1972"/>
    <s v="Poor"/>
    <x v="0"/>
    <s v="5,25"/>
    <n v="923"/>
    <b v="0"/>
    <s v="Apartment"/>
    <d v="2023-04-05T00:00:00"/>
    <n v="343997"/>
  </r>
  <r>
    <n v="92"/>
    <s v="Dzielnica D"/>
    <n v="4280.16"/>
    <n v="31"/>
    <n v="5"/>
    <n v="1975"/>
    <s v="Good"/>
    <x v="0"/>
    <s v="1,70"/>
    <n v="825"/>
    <b v="0"/>
    <s v="Apartment"/>
    <d v="2023-02-07T00:00:00"/>
    <n v="132684"/>
  </r>
  <r>
    <n v="93"/>
    <s v="Dzielnica D"/>
    <n v="6031"/>
    <n v="134"/>
    <n v="5"/>
    <n v="1965"/>
    <s v="New"/>
    <x v="0"/>
    <s v="14,80"/>
    <n v="998"/>
    <b v="1"/>
    <s v="Apartment"/>
    <d v="2022-07-04T00:00:00"/>
    <n v="808154"/>
  </r>
  <r>
    <n v="94"/>
    <s v="Dzielnica D"/>
    <n v="5361.64"/>
    <n v="142"/>
    <n v="1"/>
    <n v="1953"/>
    <s v="Good"/>
    <x v="0"/>
    <s v="10,05"/>
    <n v="1338"/>
    <b v="1"/>
    <s v="Apartment"/>
    <d v="2019-01-21T00:00:00"/>
    <n v="761352"/>
  </r>
  <r>
    <n v="95"/>
    <s v="Dzielnica D"/>
    <n v="4498.24"/>
    <n v="64"/>
    <n v="1"/>
    <n v="1982"/>
    <s v="New"/>
    <x v="1"/>
    <s v="13,10"/>
    <n v="324"/>
    <b v="1"/>
    <s v="Apartment"/>
    <d v="2018-03-04T00:00:00"/>
    <n v="287887"/>
  </r>
  <r>
    <n v="96"/>
    <s v="Dzielnica D"/>
    <n v="5915.4"/>
    <n v="109"/>
    <n v="4"/>
    <n v="1989"/>
    <s v="Good"/>
    <x v="1"/>
    <s v="11,54"/>
    <n v="1903"/>
    <b v="1"/>
    <s v="Apartment"/>
    <d v="2020-09-29T00:00:00"/>
    <n v="644778"/>
  </r>
  <r>
    <n v="97"/>
    <s v="Dzielnica D"/>
    <n v="4672.34"/>
    <n v="43"/>
    <n v="2"/>
    <n v="1951"/>
    <s v="Poor"/>
    <x v="1"/>
    <s v="10,95"/>
    <n v="527"/>
    <b v="0"/>
    <s v="Apartment"/>
    <d v="2018-05-28T00:00:00"/>
    <n v="200910"/>
  </r>
  <r>
    <n v="98"/>
    <s v="Dzielnica D"/>
    <n v="3536.49"/>
    <n v="77"/>
    <n v="2"/>
    <n v="1957"/>
    <s v="Good"/>
    <x v="0"/>
    <s v="16,13"/>
    <n v="1793"/>
    <b v="0"/>
    <s v="Apartment"/>
    <d v="2020-12-22T00:00:00"/>
    <n v="272309"/>
  </r>
  <r>
    <n v="99"/>
    <s v="Dzielnica D"/>
    <n v="6886.19"/>
    <n v="144"/>
    <n v="4"/>
    <n v="2022"/>
    <s v="Average"/>
    <x v="0"/>
    <s v="11,21"/>
    <n v="1605"/>
    <b v="1"/>
    <s v="Apartment"/>
    <d v="2022-02-09T00:00:00"/>
    <n v="991611"/>
  </r>
  <r>
    <n v="100"/>
    <s v="Dzielnica D"/>
    <n v="4965.29"/>
    <n v="83"/>
    <n v="4"/>
    <n v="2004"/>
    <s v="Poor"/>
    <x v="0"/>
    <s v="19,49"/>
    <n v="1905"/>
    <b v="0"/>
    <s v="Apartment"/>
    <d v="2020-08-04T00:00:00"/>
    <n v="41211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2">
  <r>
    <n v="1"/>
    <s v="Dzielnica A"/>
    <n v="4884.3500000000004"/>
    <n v="145"/>
    <n v="3"/>
    <n v="2018"/>
    <x v="0"/>
    <b v="1"/>
    <s v="16,75"/>
    <n v="938"/>
    <b v="0"/>
    <x v="0"/>
    <d v="2020-04-07T00:00:00"/>
    <n v="708230"/>
  </r>
  <r>
    <n v="2"/>
    <s v="Dzielnica A"/>
    <n v="4539"/>
    <n v="30"/>
    <n v="5"/>
    <n v="1965"/>
    <x v="1"/>
    <b v="0"/>
    <s v="3,54"/>
    <n v="773"/>
    <b v="1"/>
    <x v="0"/>
    <d v="2018-05-07T00:00:00"/>
    <n v="136180"/>
  </r>
  <r>
    <n v="3"/>
    <s v="Dzielnica A"/>
    <n v="6057.12"/>
    <n v="77"/>
    <n v="1"/>
    <n v="2000"/>
    <x v="0"/>
    <b v="0"/>
    <s v="1,26"/>
    <n v="327"/>
    <b v="0"/>
    <x v="0"/>
    <d v="2019-08-27T00:00:00"/>
    <n v="466398"/>
  </r>
  <r>
    <n v="4"/>
    <s v="Dzielnica A"/>
    <n v="5361.4"/>
    <n v="65"/>
    <n v="1"/>
    <n v="1973"/>
    <x v="2"/>
    <b v="1"/>
    <s v="6,85"/>
    <n v="1954"/>
    <b v="1"/>
    <x v="0"/>
    <d v="2019-02-22T00:00:00"/>
    <n v="348491"/>
  </r>
  <r>
    <n v="5"/>
    <s v="Dzielnica A"/>
    <n v="5821.9"/>
    <n v="141"/>
    <n v="3"/>
    <n v="1999"/>
    <x v="1"/>
    <b v="0"/>
    <s v="12,21"/>
    <n v="1596"/>
    <b v="0"/>
    <x v="0"/>
    <d v="2021-04-17T00:00:00"/>
    <n v="820887"/>
  </r>
  <r>
    <n v="6"/>
    <s v="Dzielnica A"/>
    <n v="5261.06"/>
    <n v="149"/>
    <n v="1"/>
    <n v="1983"/>
    <x v="0"/>
    <b v="0"/>
    <s v="17,00"/>
    <n v="922"/>
    <b v="0"/>
    <x v="0"/>
    <d v="2021-10-15T00:00:00"/>
    <n v="783897"/>
  </r>
  <r>
    <n v="7"/>
    <s v="Dzielnica A"/>
    <n v="6402.79"/>
    <n v="59"/>
    <n v="2"/>
    <n v="1962"/>
    <x v="0"/>
    <b v="0"/>
    <s v="1,60"/>
    <n v="1769"/>
    <b v="0"/>
    <x v="0"/>
    <d v="2022-01-21T00:00:00"/>
    <n v="377764"/>
  </r>
  <r>
    <n v="8"/>
    <s v="Dzielnica B"/>
    <n v="3893.67"/>
    <n v="83"/>
    <n v="2"/>
    <n v="2001"/>
    <x v="1"/>
    <b v="1"/>
    <s v="17,69"/>
    <n v="662"/>
    <b v="0"/>
    <x v="0"/>
    <d v="2018-04-27T00:00:00"/>
    <n v="323174"/>
  </r>
  <r>
    <n v="9"/>
    <s v="Dzielnica B"/>
    <n v="2380.25"/>
    <n v="128"/>
    <n v="2"/>
    <n v="1961"/>
    <x v="0"/>
    <b v="0"/>
    <s v="16,04"/>
    <n v="1362"/>
    <b v="0"/>
    <x v="0"/>
    <d v="2020-02-02T00:00:00"/>
    <n v="304672"/>
  </r>
  <r>
    <n v="10"/>
    <s v="Dzielnica B"/>
    <n v="4470.24"/>
    <n v="70"/>
    <n v="4"/>
    <n v="1993"/>
    <x v="3"/>
    <b v="0"/>
    <s v="14,80"/>
    <n v="366"/>
    <b v="0"/>
    <x v="0"/>
    <d v="2022-02-01T00:00:00"/>
    <n v="312916"/>
  </r>
  <r>
    <n v="11"/>
    <s v="Dzielnica B"/>
    <n v="5513.27"/>
    <n v="129"/>
    <n v="2"/>
    <n v="1978"/>
    <x v="0"/>
    <b v="0"/>
    <s v="11,40"/>
    <n v="532"/>
    <b v="0"/>
    <x v="0"/>
    <d v="2020-08-24T00:00:00"/>
    <n v="711211"/>
  </r>
  <r>
    <n v="12"/>
    <s v="Dzielnica B"/>
    <n v="3081.23"/>
    <n v="139"/>
    <n v="5"/>
    <n v="1985"/>
    <x v="3"/>
    <b v="1"/>
    <s v="14,26"/>
    <n v="1176"/>
    <b v="1"/>
    <x v="0"/>
    <d v="2021-10-26T00:00:00"/>
    <n v="428290"/>
  </r>
  <r>
    <n v="13"/>
    <s v="Dzielnica B"/>
    <n v="4973.49"/>
    <n v="59"/>
    <n v="4"/>
    <n v="1973"/>
    <x v="3"/>
    <b v="0"/>
    <s v="4,42"/>
    <n v="1700"/>
    <b v="1"/>
    <x v="0"/>
    <d v="2018-07-13T00:00:00"/>
    <n v="293435"/>
  </r>
  <r>
    <n v="14"/>
    <s v="Dzielnica B"/>
    <n v="7463.24"/>
    <n v="131"/>
    <n v="4"/>
    <n v="2011"/>
    <x v="2"/>
    <b v="1"/>
    <s v="8,82"/>
    <n v="1760"/>
    <b v="1"/>
    <x v="0"/>
    <d v="2021-02-10T00:00:00"/>
    <n v="977684"/>
  </r>
  <r>
    <n v="15"/>
    <s v="Dzielnica B"/>
    <n v="4009.46"/>
    <n v="93"/>
    <n v="5"/>
    <n v="1961"/>
    <x v="2"/>
    <b v="1"/>
    <s v="17,99"/>
    <n v="1122"/>
    <b v="0"/>
    <x v="0"/>
    <d v="2022-12-29T00:00:00"/>
    <n v="372879"/>
  </r>
  <r>
    <n v="16"/>
    <s v="Dzielnica B"/>
    <n v="5473.59"/>
    <n v="64"/>
    <n v="1"/>
    <n v="1965"/>
    <x v="2"/>
    <b v="1"/>
    <s v="10,72"/>
    <n v="528"/>
    <b v="0"/>
    <x v="0"/>
    <d v="2022-11-26T00:00:00"/>
    <n v="350309"/>
  </r>
  <r>
    <n v="17"/>
    <s v="Dzielnica B"/>
    <n v="4080.58"/>
    <n v="93"/>
    <n v="2"/>
    <n v="2018"/>
    <x v="3"/>
    <b v="0"/>
    <s v="3,98"/>
    <n v="847"/>
    <b v="0"/>
    <x v="0"/>
    <d v="2018-11-24T00:00:00"/>
    <n v="379493"/>
  </r>
  <r>
    <n v="18"/>
    <s v="Dzielnica C"/>
    <n v="3012.43"/>
    <n v="122"/>
    <n v="4"/>
    <n v="2010"/>
    <x v="3"/>
    <b v="0"/>
    <s v="13,15"/>
    <n v="425"/>
    <b v="0"/>
    <x v="0"/>
    <d v="2023-06-14T00:00:00"/>
    <n v="367516"/>
  </r>
  <r>
    <n v="19"/>
    <s v="Dzielnica C"/>
    <n v="4780.33"/>
    <n v="47"/>
    <n v="2"/>
    <n v="2000"/>
    <x v="1"/>
    <b v="0"/>
    <s v="16,30"/>
    <n v="1111"/>
    <b v="1"/>
    <x v="0"/>
    <d v="2021-04-18T00:00:00"/>
    <n v="224675"/>
  </r>
  <r>
    <n v="20"/>
    <s v="Dzielnica C"/>
    <n v="5357.11"/>
    <n v="139"/>
    <n v="1"/>
    <n v="1992"/>
    <x v="0"/>
    <b v="0"/>
    <s v="18,16"/>
    <n v="836"/>
    <b v="1"/>
    <x v="0"/>
    <d v="2019-12-11T00:00:00"/>
    <n v="744638"/>
  </r>
  <r>
    <n v="21"/>
    <s v="Dzielnica C"/>
    <n v="4838.71"/>
    <n v="105"/>
    <n v="5"/>
    <n v="1985"/>
    <x v="1"/>
    <b v="1"/>
    <s v="12,01"/>
    <n v="1841"/>
    <b v="1"/>
    <x v="0"/>
    <d v="2023-09-11T00:00:00"/>
    <n v="508064"/>
  </r>
  <r>
    <n v="22"/>
    <s v="Dzielnica C"/>
    <n v="5791.03"/>
    <n v="127"/>
    <n v="3"/>
    <n v="1966"/>
    <x v="0"/>
    <b v="1"/>
    <s v="7,56"/>
    <n v="1673"/>
    <b v="0"/>
    <x v="0"/>
    <d v="2020-03-10T00:00:00"/>
    <n v="735460"/>
  </r>
  <r>
    <n v="23"/>
    <s v="Dzielnica C"/>
    <n v="7190.46"/>
    <n v="140"/>
    <n v="2"/>
    <n v="1998"/>
    <x v="3"/>
    <b v="0"/>
    <s v="7,76"/>
    <n v="1987"/>
    <b v="0"/>
    <x v="0"/>
    <d v="2018-02-24T00:00:00"/>
    <n v="1006664"/>
  </r>
  <r>
    <n v="24"/>
    <s v="Dzielnica D"/>
    <n v="4160.78"/>
    <n v="48"/>
    <n v="3"/>
    <n v="1988"/>
    <x v="0"/>
    <b v="1"/>
    <s v="8,18"/>
    <n v="1182"/>
    <b v="0"/>
    <x v="0"/>
    <d v="2023-01-29T00:00:00"/>
    <n v="199717"/>
  </r>
  <r>
    <n v="25"/>
    <s v="Dzielnica D"/>
    <n v="5331.26"/>
    <n v="109"/>
    <n v="1"/>
    <n v="1972"/>
    <x v="0"/>
    <b v="1"/>
    <s v="4,90"/>
    <n v="1326"/>
    <b v="1"/>
    <x v="0"/>
    <d v="2020-07-24T00:00:00"/>
    <n v="581107"/>
  </r>
  <r>
    <n v="26"/>
    <s v="Dzielnica D"/>
    <n v="3803.79"/>
    <n v="149"/>
    <n v="2"/>
    <n v="1959"/>
    <x v="2"/>
    <b v="1"/>
    <s v="15,38"/>
    <n v="1831"/>
    <b v="0"/>
    <x v="0"/>
    <d v="2020-07-25T00:00:00"/>
    <n v="566764"/>
  </r>
  <r>
    <n v="27"/>
    <s v="Dzielnica D"/>
    <n v="5812.53"/>
    <n v="62"/>
    <n v="3"/>
    <n v="1968"/>
    <x v="3"/>
    <b v="1"/>
    <s v="1,89"/>
    <n v="1597"/>
    <b v="0"/>
    <x v="0"/>
    <d v="2019-07-29T00:00:00"/>
    <n v="360376"/>
  </r>
  <r>
    <n v="28"/>
    <s v="Dzielnica D"/>
    <n v="4354.88"/>
    <n v="101"/>
    <n v="1"/>
    <n v="1965"/>
    <x v="3"/>
    <b v="0"/>
    <s v="16,80"/>
    <n v="1515"/>
    <b v="0"/>
    <x v="0"/>
    <d v="2019-04-20T00:00:00"/>
    <n v="439842"/>
  </r>
  <r>
    <n v="29"/>
    <s v="Dzielnica D"/>
    <n v="5087.05"/>
    <n v="118"/>
    <n v="2"/>
    <n v="1984"/>
    <x v="1"/>
    <b v="0"/>
    <s v="10,12"/>
    <n v="1554"/>
    <b v="0"/>
    <x v="0"/>
    <d v="2021-04-20T00:00:00"/>
    <n v="600271"/>
  </r>
  <r>
    <n v="30"/>
    <s v="Dzielnica D"/>
    <n v="4481.7299999999996"/>
    <n v="95"/>
    <n v="5"/>
    <n v="2016"/>
    <x v="2"/>
    <b v="0"/>
    <s v="19,63"/>
    <n v="1848"/>
    <b v="1"/>
    <x v="0"/>
    <d v="2021-03-30T00:00:00"/>
    <n v="425764"/>
  </r>
  <r>
    <n v="31"/>
    <s v="Dzielnica D"/>
    <n v="4191.51"/>
    <n v="83"/>
    <n v="4"/>
    <n v="2014"/>
    <x v="3"/>
    <b v="0"/>
    <s v="12,55"/>
    <n v="1535"/>
    <b v="1"/>
    <x v="0"/>
    <d v="2018-10-12T00:00:00"/>
    <n v="347895"/>
  </r>
  <r>
    <n v="32"/>
    <s v="Dzielnica D"/>
    <n v="5296.12"/>
    <n v="49"/>
    <n v="2"/>
    <n v="1975"/>
    <x v="2"/>
    <b v="0"/>
    <s v="9,73"/>
    <n v="333"/>
    <b v="1"/>
    <x v="0"/>
    <d v="2022-09-21T00:00:00"/>
    <n v="259509"/>
  </r>
  <r>
    <n v="33"/>
    <s v="Dzielnica D"/>
    <n v="3831.32"/>
    <n v="37"/>
    <n v="2"/>
    <n v="1962"/>
    <x v="2"/>
    <b v="0"/>
    <s v="12,44"/>
    <n v="1826"/>
    <b v="0"/>
    <x v="0"/>
    <d v="2020-04-10T00:00:00"/>
    <n v="141758"/>
  </r>
  <r>
    <n v="34"/>
    <s v="Dzielnica D"/>
    <n v="4090.61"/>
    <n v="50"/>
    <n v="4"/>
    <n v="2011"/>
    <x v="3"/>
    <b v="0"/>
    <s v="7,60"/>
    <n v="1142"/>
    <b v="1"/>
    <x v="0"/>
    <d v="2020-02-17T00:00:00"/>
    <n v="204530"/>
  </r>
  <r>
    <n v="35"/>
    <s v="Dzielnica D"/>
    <n v="3598.15"/>
    <n v="126"/>
    <n v="2"/>
    <n v="2008"/>
    <x v="3"/>
    <b v="0"/>
    <s v="11,43"/>
    <n v="649"/>
    <b v="1"/>
    <x v="0"/>
    <d v="2023-03-17T00:00:00"/>
    <n v="453366"/>
  </r>
  <r>
    <n v="36"/>
    <s v="Dzielnica D"/>
    <n v="5099.6499999999996"/>
    <n v="98"/>
    <n v="4"/>
    <n v="1968"/>
    <x v="3"/>
    <b v="1"/>
    <s v="7,27"/>
    <n v="1058"/>
    <b v="1"/>
    <x v="0"/>
    <d v="2020-04-12T00:00:00"/>
    <n v="499765"/>
  </r>
  <r>
    <n v="37"/>
    <s v="Dzielnica D"/>
    <n v="4677.9399999999996"/>
    <n v="73"/>
    <n v="5"/>
    <n v="2001"/>
    <x v="1"/>
    <b v="1"/>
    <s v="17,50"/>
    <n v="305"/>
    <b v="1"/>
    <x v="0"/>
    <d v="2021-01-16T00:00:00"/>
    <n v="341489"/>
  </r>
  <r>
    <n v="38"/>
    <s v="Dzielnica A"/>
    <n v="5931.28"/>
    <n v="128"/>
    <n v="1"/>
    <n v="1997"/>
    <x v="0"/>
    <b v="0"/>
    <s v="15,38"/>
    <n v="1635"/>
    <b v="1"/>
    <x v="1"/>
    <d v="2021-04-20T00:00:00"/>
    <n v="759203"/>
  </r>
  <r>
    <n v="39"/>
    <s v="Dzielnica A"/>
    <n v="6538.04"/>
    <n v="67"/>
    <n v="3"/>
    <n v="1951"/>
    <x v="1"/>
    <b v="1"/>
    <s v="16,51"/>
    <n v="784"/>
    <b v="0"/>
    <x v="1"/>
    <d v="2020-07-27T00:00:00"/>
    <n v="438048"/>
  </r>
  <r>
    <n v="40"/>
    <s v="Dzielnica A"/>
    <n v="4700.99"/>
    <n v="128"/>
    <n v="1"/>
    <n v="1982"/>
    <x v="3"/>
    <b v="0"/>
    <s v="8,99"/>
    <n v="385"/>
    <b v="0"/>
    <x v="1"/>
    <d v="2019-10-26T00:00:00"/>
    <n v="601726"/>
  </r>
  <r>
    <n v="41"/>
    <s v="Dzielnica A"/>
    <n v="5091.76"/>
    <n v="54"/>
    <n v="5"/>
    <n v="1982"/>
    <x v="3"/>
    <b v="0"/>
    <s v="15,91"/>
    <n v="1797"/>
    <b v="1"/>
    <x v="1"/>
    <d v="2018-01-25T00:00:00"/>
    <n v="274955"/>
  </r>
  <r>
    <n v="42"/>
    <s v="Dzielnica A"/>
    <n v="4657.29"/>
    <n v="36"/>
    <n v="2"/>
    <n v="2017"/>
    <x v="3"/>
    <b v="0"/>
    <s v="2,26"/>
    <n v="1047"/>
    <b v="0"/>
    <x v="1"/>
    <d v="2022-11-28T00:00:00"/>
    <n v="171554"/>
  </r>
  <r>
    <n v="43"/>
    <s v="Dzielnica A"/>
    <n v="4657.29"/>
    <n v="62"/>
    <n v="5"/>
    <n v="1985"/>
    <x v="0"/>
    <b v="1"/>
    <s v="7,60"/>
    <n v="724"/>
    <b v="1"/>
    <x v="1"/>
    <d v="2020-08-09T00:00:00"/>
    <n v="288751"/>
  </r>
  <r>
    <n v="44"/>
    <s v="Dzielnica A"/>
    <n v="5174.58"/>
    <n v="115"/>
    <n v="4"/>
    <n v="1973"/>
    <x v="0"/>
    <b v="0"/>
    <s v="9,74"/>
    <n v="1643"/>
    <b v="1"/>
    <x v="1"/>
    <d v="2018-10-13T00:00:00"/>
    <n v="595076"/>
  </r>
  <r>
    <n v="45"/>
    <s v="Dzielnica B"/>
    <n v="3236.96"/>
    <n v="98"/>
    <n v="3"/>
    <n v="1978"/>
    <x v="0"/>
    <b v="1"/>
    <s v="14,14"/>
    <n v="1539"/>
    <b v="0"/>
    <x v="1"/>
    <d v="2020-10-10T00:00:00"/>
    <n v="317222"/>
  </r>
  <r>
    <n v="46"/>
    <s v="Dzielnica B"/>
    <n v="4520.83"/>
    <n v="49"/>
    <n v="2"/>
    <n v="2018"/>
    <x v="3"/>
    <b v="1"/>
    <s v="6,22"/>
    <n v="1218"/>
    <b v="0"/>
    <x v="1"/>
    <d v="2021-08-25T00:00:00"/>
    <n v="221520"/>
  </r>
  <r>
    <n v="47"/>
    <s v="Dzielnica B"/>
    <n v="6477.89"/>
    <n v="111"/>
    <n v="4"/>
    <n v="1961"/>
    <x v="2"/>
    <b v="1"/>
    <s v="12,73"/>
    <n v="444"/>
    <b v="0"/>
    <x v="1"/>
    <d v="2023-02-23T00:00:00"/>
    <n v="719045"/>
  </r>
  <r>
    <n v="48"/>
    <s v="Dzielnica B"/>
    <n v="5968.64"/>
    <n v="97"/>
    <n v="3"/>
    <n v="1961"/>
    <x v="3"/>
    <b v="0"/>
    <s v="18,30"/>
    <n v="1469"/>
    <b v="1"/>
    <x v="1"/>
    <d v="2021-01-12T00:00:00"/>
    <n v="578958"/>
  </r>
  <r>
    <n v="49"/>
    <s v="Dzielnica B"/>
    <n v="5404.05"/>
    <n v="88"/>
    <n v="4"/>
    <n v="1959"/>
    <x v="1"/>
    <b v="0"/>
    <s v="7,49"/>
    <n v="991"/>
    <b v="1"/>
    <x v="1"/>
    <d v="2019-03-05T00:00:00"/>
    <n v="475556"/>
  </r>
  <r>
    <n v="50"/>
    <s v="Dzielnica B"/>
    <n v="4496.5200000000004"/>
    <n v="90"/>
    <n v="5"/>
    <n v="1958"/>
    <x v="0"/>
    <b v="1"/>
    <s v="7,11"/>
    <n v="1198"/>
    <b v="1"/>
    <x v="1"/>
    <d v="2018-11-09T00:00:00"/>
    <n v="404686"/>
  </r>
  <r>
    <n v="51"/>
    <s v="Dzielnica B"/>
    <n v="3937.7"/>
    <n v="33"/>
    <n v="2"/>
    <n v="2001"/>
    <x v="3"/>
    <b v="0"/>
    <s v="14,07"/>
    <n v="1363"/>
    <b v="0"/>
    <x v="1"/>
    <d v="2023-06-30T00:00:00"/>
    <n v="129944"/>
  </r>
  <r>
    <n v="52"/>
    <s v="Dzielnica B"/>
    <n v="6549.93"/>
    <n v="78"/>
    <n v="1"/>
    <n v="1961"/>
    <x v="1"/>
    <b v="0"/>
    <s v="8,17"/>
    <n v="1219"/>
    <b v="1"/>
    <x v="1"/>
    <d v="2021-07-11T00:00:00"/>
    <n v="510894"/>
  </r>
  <r>
    <n v="53"/>
    <s v="Dzielnica B"/>
    <n v="4216.75"/>
    <n v="46"/>
    <n v="5"/>
    <n v="1974"/>
    <x v="3"/>
    <b v="1"/>
    <s v="1,05"/>
    <n v="1546"/>
    <b v="0"/>
    <x v="1"/>
    <d v="2023-11-14T00:00:00"/>
    <n v="193970"/>
  </r>
  <r>
    <n v="54"/>
    <s v="Dzielnica B"/>
    <n v="5813.52"/>
    <n v="121"/>
    <n v="1"/>
    <n v="2002"/>
    <x v="1"/>
    <b v="1"/>
    <s v="2,61"/>
    <n v="1645"/>
    <b v="1"/>
    <x v="1"/>
    <d v="2021-08-04T00:00:00"/>
    <n v="703435"/>
  </r>
  <r>
    <n v="55"/>
    <s v="Dzielnica C"/>
    <n v="5738.47"/>
    <n v="119"/>
    <n v="5"/>
    <n v="2013"/>
    <x v="2"/>
    <b v="1"/>
    <s v="15,24"/>
    <n v="1018"/>
    <b v="0"/>
    <x v="1"/>
    <d v="2020-09-11T00:00:00"/>
    <n v="682877"/>
  </r>
  <r>
    <n v="56"/>
    <s v="Dzielnica C"/>
    <n v="5343.62"/>
    <n v="41"/>
    <n v="5"/>
    <n v="2006"/>
    <x v="1"/>
    <b v="1"/>
    <s v="2,43"/>
    <n v="377"/>
    <b v="0"/>
    <x v="1"/>
    <d v="2023-04-13T00:00:00"/>
    <n v="219088"/>
  </r>
  <r>
    <n v="57"/>
    <s v="Dzielnica C"/>
    <n v="5738.47"/>
    <n v="66"/>
    <n v="4"/>
    <n v="2018"/>
    <x v="1"/>
    <b v="0"/>
    <s v="11,15"/>
    <n v="1709"/>
    <b v="1"/>
    <x v="1"/>
    <d v="2018-02-20T00:00:00"/>
    <n v="351389"/>
  </r>
  <r>
    <n v="58"/>
    <s v="Dzielnica C"/>
    <n v="5611.68"/>
    <n v="38"/>
    <n v="5"/>
    <n v="2018"/>
    <x v="0"/>
    <b v="1"/>
    <s v="12,12"/>
    <n v="825"/>
    <b v="0"/>
    <x v="1"/>
    <d v="2022-06-25T00:00:00"/>
    <n v="213243"/>
  </r>
  <r>
    <n v="59"/>
    <s v="Dzielnica C"/>
    <n v="5328.75"/>
    <n v="90"/>
    <n v="3"/>
    <n v="1992"/>
    <x v="2"/>
    <b v="0"/>
    <s v="2,73"/>
    <n v="1717"/>
    <b v="0"/>
    <x v="1"/>
    <d v="2019-10-24T00:00:00"/>
    <n v="479587"/>
  </r>
  <r>
    <n v="60"/>
    <s v="Dzielnica C"/>
    <n v="3584.63"/>
    <n v="96"/>
    <n v="3"/>
    <n v="2007"/>
    <x v="2"/>
    <b v="1"/>
    <s v="1,87"/>
    <n v="894"/>
    <b v="1"/>
    <x v="1"/>
    <d v="2022-10-26T00:00:00"/>
    <n v="344124"/>
  </r>
  <r>
    <n v="61"/>
    <s v="Dzielnica C"/>
    <n v="4579.3500000000004"/>
    <n v="46"/>
    <n v="4"/>
    <n v="1978"/>
    <x v="1"/>
    <b v="1"/>
    <s v="12,80"/>
    <n v="1877"/>
    <b v="1"/>
    <x v="1"/>
    <d v="2020-09-16T00:00:00"/>
    <n v="210650"/>
  </r>
  <r>
    <n v="62"/>
    <s v="Dzielnica C"/>
    <n v="5586.86"/>
    <n v="57"/>
    <n v="5"/>
    <n v="1968"/>
    <x v="0"/>
    <b v="0"/>
    <s v="11,15"/>
    <n v="1930"/>
    <b v="1"/>
    <x v="1"/>
    <d v="2023-11-05T00:00:00"/>
    <n v="318451"/>
  </r>
  <r>
    <n v="63"/>
    <s v="Dzielnica D"/>
    <n v="5171.37"/>
    <n v="141"/>
    <n v="5"/>
    <n v="2012"/>
    <x v="3"/>
    <b v="0"/>
    <s v="8,47"/>
    <n v="602"/>
    <b v="1"/>
    <x v="1"/>
    <d v="2022-06-28T00:00:00"/>
    <n v="729163"/>
  </r>
  <r>
    <n v="64"/>
    <s v="Dzielnica D"/>
    <n v="4690.79"/>
    <n v="77"/>
    <n v="2"/>
    <n v="1982"/>
    <x v="1"/>
    <b v="0"/>
    <s v="5,58"/>
    <n v="1330"/>
    <b v="0"/>
    <x v="1"/>
    <d v="2019-07-21T00:00:00"/>
    <n v="361190"/>
  </r>
  <r>
    <n v="65"/>
    <s v="Dzielnica D"/>
    <n v="4964.17"/>
    <n v="133"/>
    <n v="5"/>
    <n v="1981"/>
    <x v="3"/>
    <b v="1"/>
    <s v="19,39"/>
    <n v="327"/>
    <b v="1"/>
    <x v="1"/>
    <d v="2020-08-12T00:00:00"/>
    <n v="660234"/>
  </r>
  <r>
    <n v="66"/>
    <s v="Dzielnica D"/>
    <n v="5257.55"/>
    <n v="148"/>
    <n v="5"/>
    <n v="2013"/>
    <x v="1"/>
    <b v="0"/>
    <s v="12,11"/>
    <n v="1766"/>
    <b v="0"/>
    <x v="1"/>
    <d v="2023-08-28T00:00:00"/>
    <n v="778117"/>
  </r>
  <r>
    <n v="67"/>
    <s v="Dzielnica D"/>
    <n v="5751.93"/>
    <n v="56"/>
    <n v="1"/>
    <n v="1979"/>
    <x v="3"/>
    <b v="1"/>
    <s v="16,61"/>
    <n v="815"/>
    <b v="0"/>
    <x v="1"/>
    <d v="2018-02-24T00:00:00"/>
    <n v="322108"/>
  </r>
  <r>
    <n v="68"/>
    <s v="Dzielnica D"/>
    <n v="3449.34"/>
    <n v="77"/>
    <n v="1"/>
    <n v="2020"/>
    <x v="2"/>
    <b v="0"/>
    <s v="2,75"/>
    <n v="542"/>
    <b v="0"/>
    <x v="1"/>
    <d v="2023-02-02T00:00:00"/>
    <n v="265599"/>
  </r>
  <r>
    <n v="69"/>
    <s v="Dzielnica D"/>
    <n v="5099.6499999999996"/>
    <n v="48"/>
    <n v="2"/>
    <n v="1977"/>
    <x v="3"/>
    <b v="1"/>
    <s v="10,14"/>
    <n v="842"/>
    <b v="0"/>
    <x v="1"/>
    <d v="2023-07-01T00:00:00"/>
    <n v="243290"/>
  </r>
  <r>
    <n v="70"/>
    <s v="Dzielnica A"/>
    <n v="4814.34"/>
    <n v="53"/>
    <n v="3"/>
    <n v="1983"/>
    <x v="1"/>
    <b v="0"/>
    <s v="4,94"/>
    <n v="1049"/>
    <b v="1"/>
    <x v="2"/>
    <d v="2018-07-21T00:00:00"/>
    <n v="255160"/>
  </r>
  <r>
    <n v="71"/>
    <s v="Dzielnica A"/>
    <n v="4197.72"/>
    <n v="77"/>
    <n v="1"/>
    <n v="1970"/>
    <x v="0"/>
    <b v="1"/>
    <s v="4,97"/>
    <n v="912"/>
    <b v="1"/>
    <x v="2"/>
    <d v="2019-12-24T00:00:00"/>
    <n v="323224"/>
  </r>
  <r>
    <n v="72"/>
    <s v="Dzielnica A"/>
    <n v="5060.2299999999996"/>
    <n v="67"/>
    <n v="3"/>
    <n v="1972"/>
    <x v="1"/>
    <b v="1"/>
    <s v="14,23"/>
    <n v="1612"/>
    <b v="0"/>
    <x v="2"/>
    <d v="2020-09-14T00:00:00"/>
    <n v="339035"/>
  </r>
  <r>
    <n v="73"/>
    <s v="Dzielnica A"/>
    <n v="4807.6400000000003"/>
    <n v="138"/>
    <n v="5"/>
    <n v="1986"/>
    <x v="1"/>
    <b v="0"/>
    <s v="17,61"/>
    <n v="961"/>
    <b v="1"/>
    <x v="2"/>
    <d v="2023-12-02T00:00:00"/>
    <n v="663454"/>
  </r>
  <r>
    <n v="74"/>
    <s v="Dzielnica A"/>
    <n v="4433.7"/>
    <n v="126"/>
    <n v="1"/>
    <n v="2010"/>
    <x v="1"/>
    <b v="1"/>
    <s v="3,45"/>
    <n v="1460"/>
    <b v="1"/>
    <x v="2"/>
    <d v="2021-04-16T00:00:00"/>
    <n v="558646"/>
  </r>
  <r>
    <n v="75"/>
    <s v="Dzielnica A"/>
    <n v="3769.14"/>
    <n v="59"/>
    <n v="5"/>
    <n v="1972"/>
    <x v="2"/>
    <b v="1"/>
    <s v="12,35"/>
    <n v="767"/>
    <b v="1"/>
    <x v="2"/>
    <d v="2019-03-28T00:00:00"/>
    <n v="222379"/>
  </r>
  <r>
    <n v="76"/>
    <s v="Dzielnica B"/>
    <n v="6356.24"/>
    <n v="53"/>
    <n v="2"/>
    <n v="2007"/>
    <x v="3"/>
    <b v="1"/>
    <s v="6,10"/>
    <n v="1829"/>
    <b v="0"/>
    <x v="2"/>
    <d v="2019-06-21T00:00:00"/>
    <n v="336880"/>
  </r>
  <r>
    <n v="77"/>
    <s v="Dzielnica B"/>
    <n v="4927.99"/>
    <n v="145"/>
    <n v="2"/>
    <n v="1950"/>
    <x v="1"/>
    <b v="0"/>
    <s v="1,42"/>
    <n v="1105"/>
    <b v="1"/>
    <x v="2"/>
    <d v="2022-06-14T00:00:00"/>
    <n v="714558"/>
  </r>
  <r>
    <n v="78"/>
    <s v="Dzielnica B"/>
    <n v="6003.53"/>
    <n v="104"/>
    <n v="2"/>
    <n v="2018"/>
    <x v="0"/>
    <b v="0"/>
    <s v="10,47"/>
    <n v="1038"/>
    <b v="0"/>
    <x v="2"/>
    <d v="2023-10-24T00:00:00"/>
    <n v="624367"/>
  </r>
  <r>
    <n v="79"/>
    <s v="Dzielnica B"/>
    <n v="6564.64"/>
    <n v="113"/>
    <n v="2"/>
    <n v="1973"/>
    <x v="1"/>
    <b v="0"/>
    <s v="2,68"/>
    <n v="1013"/>
    <b v="1"/>
    <x v="2"/>
    <d v="2020-05-25T00:00:00"/>
    <n v="741804"/>
  </r>
  <r>
    <n v="80"/>
    <s v="Dzielnica B"/>
    <n v="4973.49"/>
    <n v="51"/>
    <n v="4"/>
    <n v="1998"/>
    <x v="0"/>
    <b v="1"/>
    <s v="8,61"/>
    <n v="614"/>
    <b v="0"/>
    <x v="2"/>
    <d v="2020-02-08T00:00:00"/>
    <n v="251203"/>
  </r>
  <r>
    <n v="81"/>
    <s v="Dzielnica B"/>
    <n v="5301.55"/>
    <n v="80"/>
    <n v="2"/>
    <n v="1961"/>
    <x v="1"/>
    <b v="0"/>
    <s v="10,79"/>
    <n v="576"/>
    <b v="1"/>
    <x v="2"/>
    <d v="2022-08-29T00:00:00"/>
    <n v="424124"/>
  </r>
  <r>
    <n v="82"/>
    <s v="Dzielnica C"/>
    <n v="4698.8999999999996"/>
    <n v="89"/>
    <n v="4"/>
    <n v="1971"/>
    <x v="3"/>
    <b v="1"/>
    <s v="11,81"/>
    <n v="355"/>
    <b v="1"/>
    <x v="2"/>
    <d v="2018-12-22T00:00:00"/>
    <n v="418202"/>
  </r>
  <r>
    <n v="83"/>
    <s v="Dzielnica C"/>
    <n v="3521.48"/>
    <n v="142"/>
    <n v="1"/>
    <n v="2016"/>
    <x v="3"/>
    <b v="1"/>
    <s v="2,21"/>
    <n v="1025"/>
    <b v="0"/>
    <x v="2"/>
    <d v="2021-09-09T00:00:00"/>
    <n v="500050"/>
  </r>
  <r>
    <n v="84"/>
    <s v="Dzielnica C"/>
    <n v="4614.92"/>
    <n v="61"/>
    <n v="1"/>
    <n v="1996"/>
    <x v="3"/>
    <b v="1"/>
    <s v="15,25"/>
    <n v="664"/>
    <b v="0"/>
    <x v="2"/>
    <d v="2021-12-01T00:00:00"/>
    <n v="281510"/>
  </r>
  <r>
    <n v="85"/>
    <s v="Dzielnica C"/>
    <n v="4323.08"/>
    <n v="148"/>
    <n v="4"/>
    <n v="2011"/>
    <x v="0"/>
    <b v="0"/>
    <s v="18,35"/>
    <n v="965"/>
    <b v="1"/>
    <x v="2"/>
    <d v="2022-11-28T00:00:00"/>
    <n v="639815"/>
  </r>
  <r>
    <n v="86"/>
    <s v="Dzielnica C"/>
    <n v="5975.55"/>
    <n v="32"/>
    <n v="2"/>
    <n v="1959"/>
    <x v="2"/>
    <b v="1"/>
    <s v="5,78"/>
    <n v="1946"/>
    <b v="1"/>
    <x v="2"/>
    <d v="2023-04-19T00:00:00"/>
    <n v="191217"/>
  </r>
  <r>
    <n v="87"/>
    <s v="Dzielnica C"/>
    <n v="5097.08"/>
    <n v="62"/>
    <n v="2"/>
    <n v="1962"/>
    <x v="0"/>
    <b v="0"/>
    <s v="9,57"/>
    <n v="408"/>
    <b v="0"/>
    <x v="2"/>
    <d v="2020-04-28T00:00:00"/>
    <n v="316018"/>
  </r>
  <r>
    <n v="88"/>
    <s v="Dzielnica C"/>
    <n v="4297.95"/>
    <n v="62"/>
    <n v="1"/>
    <n v="1995"/>
    <x v="3"/>
    <b v="0"/>
    <s v="6,66"/>
    <n v="410"/>
    <b v="1"/>
    <x v="2"/>
    <d v="2019-11-20T00:00:00"/>
    <n v="266472"/>
  </r>
  <r>
    <n v="89"/>
    <s v="Dzielnica C"/>
    <n v="4607.8900000000003"/>
    <n v="50"/>
    <n v="5"/>
    <n v="1984"/>
    <x v="2"/>
    <b v="1"/>
    <s v="14,26"/>
    <n v="410"/>
    <b v="0"/>
    <x v="2"/>
    <d v="2018-12-08T00:00:00"/>
    <n v="230394"/>
  </r>
  <r>
    <n v="90"/>
    <s v="Dzielnica C"/>
    <n v="5005.1099999999997"/>
    <n v="37"/>
    <n v="4"/>
    <n v="1956"/>
    <x v="0"/>
    <b v="1"/>
    <s v="15,61"/>
    <n v="1692"/>
    <b v="0"/>
    <x v="2"/>
    <d v="2018-11-23T00:00:00"/>
    <n v="185189"/>
  </r>
  <r>
    <n v="91"/>
    <s v="Dzielnica C"/>
    <n v="6142.82"/>
    <n v="56"/>
    <n v="3"/>
    <n v="1972"/>
    <x v="2"/>
    <b v="1"/>
    <s v="5,25"/>
    <n v="923"/>
    <b v="0"/>
    <x v="2"/>
    <d v="2023-04-05T00:00:00"/>
    <n v="343997"/>
  </r>
  <r>
    <n v="92"/>
    <s v="Dzielnica D"/>
    <n v="4280.16"/>
    <n v="31"/>
    <n v="5"/>
    <n v="1975"/>
    <x v="1"/>
    <b v="1"/>
    <s v="1,70"/>
    <n v="825"/>
    <b v="0"/>
    <x v="2"/>
    <d v="2023-02-07T00:00:00"/>
    <n v="132684"/>
  </r>
  <r>
    <n v="93"/>
    <s v="Dzielnica D"/>
    <n v="6031"/>
    <n v="134"/>
    <n v="5"/>
    <n v="1965"/>
    <x v="3"/>
    <b v="1"/>
    <s v="14,80"/>
    <n v="998"/>
    <b v="1"/>
    <x v="2"/>
    <d v="2022-07-04T00:00:00"/>
    <n v="808154"/>
  </r>
  <r>
    <n v="94"/>
    <s v="Dzielnica D"/>
    <n v="5361.64"/>
    <n v="142"/>
    <n v="1"/>
    <n v="1953"/>
    <x v="1"/>
    <b v="1"/>
    <s v="10,05"/>
    <n v="1338"/>
    <b v="1"/>
    <x v="2"/>
    <d v="2019-01-21T00:00:00"/>
    <n v="761352"/>
  </r>
  <r>
    <n v="95"/>
    <s v="Dzielnica D"/>
    <n v="4498.24"/>
    <n v="64"/>
    <n v="1"/>
    <n v="1982"/>
    <x v="3"/>
    <b v="0"/>
    <s v="13,10"/>
    <n v="324"/>
    <b v="1"/>
    <x v="2"/>
    <d v="2018-03-04T00:00:00"/>
    <n v="287887"/>
  </r>
  <r>
    <n v="96"/>
    <s v="Dzielnica D"/>
    <n v="5915.4"/>
    <n v="109"/>
    <n v="4"/>
    <n v="1989"/>
    <x v="1"/>
    <b v="0"/>
    <s v="11,54"/>
    <n v="1903"/>
    <b v="1"/>
    <x v="2"/>
    <d v="2020-09-29T00:00:00"/>
    <n v="644778"/>
  </r>
  <r>
    <n v="97"/>
    <s v="Dzielnica D"/>
    <n v="4672.34"/>
    <n v="43"/>
    <n v="2"/>
    <n v="1951"/>
    <x v="2"/>
    <b v="0"/>
    <s v="10,95"/>
    <n v="527"/>
    <b v="0"/>
    <x v="2"/>
    <d v="2018-05-28T00:00:00"/>
    <n v="200910"/>
  </r>
  <r>
    <n v="98"/>
    <s v="Dzielnica D"/>
    <n v="3536.49"/>
    <n v="77"/>
    <n v="2"/>
    <n v="1957"/>
    <x v="1"/>
    <b v="1"/>
    <s v="16,13"/>
    <n v="1793"/>
    <b v="0"/>
    <x v="2"/>
    <d v="2020-12-22T00:00:00"/>
    <n v="272309"/>
  </r>
  <r>
    <n v="99"/>
    <s v="Dzielnica D"/>
    <n v="6886.19"/>
    <n v="144"/>
    <n v="4"/>
    <n v="2022"/>
    <x v="0"/>
    <b v="1"/>
    <s v="11,21"/>
    <n v="1605"/>
    <b v="1"/>
    <x v="2"/>
    <d v="2022-02-09T00:00:00"/>
    <n v="991611"/>
  </r>
  <r>
    <n v="100"/>
    <s v="Dzielnica D"/>
    <n v="4965.29"/>
    <n v="83"/>
    <n v="4"/>
    <n v="2004"/>
    <x v="2"/>
    <b v="1"/>
    <s v="19,49"/>
    <n v="1905"/>
    <b v="0"/>
    <x v="2"/>
    <d v="2020-08-04T00:00:00"/>
    <n v="412119"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  <r>
    <m/>
    <m/>
    <m/>
    <m/>
    <m/>
    <m/>
    <x v="4"/>
    <m/>
    <m/>
    <m/>
    <m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9DF445-0588-4084-BBDE-A5D11D759EEC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ndition">
  <location ref="G3:H8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6">
        <item x="0"/>
        <item x="1"/>
        <item x="3"/>
        <item x="2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 v="2"/>
    </i>
    <i>
      <x v="1"/>
    </i>
    <i>
      <x/>
    </i>
    <i>
      <x v="3"/>
    </i>
    <i t="grand">
      <x/>
    </i>
  </rowItems>
  <colItems count="1">
    <i/>
  </colItems>
  <dataFields count="1">
    <dataField name="Count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2DDE8A-EAB6-42B9-9CA9-0DB1955D76F7}" name="PivotTable2" cacheId="9" applyNumberFormats="0" applyBorderFormats="0" applyFontFormats="0" applyPatternFormats="0" applyAlignmentFormats="0" applyWidthHeightFormats="1" dataCaption="Values" grandTotalCaption="Average Total" updatedVersion="8" minRefreshableVersion="3" useAutoFormatting="1" itemPrintTitles="1" createdVersion="8" indent="0" outline="1" outlineData="1" multipleFieldFilters="0" rowHeaderCaption="Type">
  <location ref="D3:E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dataField="1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price in PLN" fld="13" subtotal="average" baseField="11" baseItem="0" numFmtId="4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9095A-FA07-486C-8885-1D72F6A141F6}" name="PivotTable1" cacheId="3" applyNumberFormats="0" applyBorderFormats="0" applyFontFormats="0" applyPatternFormats="0" applyAlignmentFormats="0" applyWidthHeightFormats="1" dataCaption="Values" grandTotalCaption="Average Total" updatedVersion="8" minRefreshableVersion="3" useAutoFormatting="1" itemPrintTitles="1" createdVersion="8" indent="0" outline="1" outlineData="1" multipleFieldFilters="0" rowHeaderCaption="Garage">
  <location ref="A3:B6" firstHeaderRow="1" firstDataRow="1" firstDataCol="1"/>
  <pivotFields count="14">
    <pivotField showAll="0"/>
    <pivotField showAll="0"/>
    <pivotField numFmtId="4" showAll="0"/>
    <pivotField numFmtId="1" showAll="0"/>
    <pivotField numFmtId="1" showAll="0"/>
    <pivotField numFmtId="1" showAll="0"/>
    <pivotField showAll="0"/>
    <pivotField axis="axisRow" showAll="0">
      <items count="3">
        <item x="1"/>
        <item x="0"/>
        <item t="default"/>
      </items>
    </pivotField>
    <pivotField showAll="0"/>
    <pivotField numFmtId="1" showAll="0"/>
    <pivotField showAll="0"/>
    <pivotField showAll="0"/>
    <pivotField numFmtId="164" showAll="0"/>
    <pivotField dataField="1" numFmtId="4"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Average price in PLN" fld="13" subtotal="average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5D6FA8-3ACB-404A-BAE5-90B6AC2596F5}" name="Table1" displayName="Table1" ref="A1:N101" totalsRowShown="0" headerRowDxfId="16" dataDxfId="15">
  <autoFilter ref="A1:N101" xr:uid="{F45D6FA8-3ACB-404A-BAE5-90B6AC2596F5}"/>
  <tableColumns count="14">
    <tableColumn id="1" xr3:uid="{927DC4FD-E883-4CED-9F90-9AE52BBA69C2}" name="ID" dataDxfId="7"/>
    <tableColumn id="2" xr3:uid="{98FBAA02-F860-4A42-8A3D-5452AFB99C55}" name="Location" dataDxfId="5"/>
    <tableColumn id="3" xr3:uid="{00D04FD6-73EB-4478-8A0B-4B837265867D}" name="Price_per_sqm" dataDxfId="6"/>
    <tableColumn id="4" xr3:uid="{C5E6359A-A7D2-4238-8EDD-7AEF368AD8EA}" name="Area_sqm" dataDxfId="10"/>
    <tableColumn id="5" xr3:uid="{3B9921FE-70DB-444F-8FA3-BAC8AA8763F7}" name="Rooms" dataDxfId="8"/>
    <tableColumn id="6" xr3:uid="{A50EFADF-EC87-4FAD-8FF0-7800FEE0AE52}" name="Year_Built" dataDxfId="9"/>
    <tableColumn id="7" xr3:uid="{CE889130-F605-4BF5-A492-385C41C11728}" name="Condition" dataDxfId="11"/>
    <tableColumn id="8" xr3:uid="{4547F0EE-3AF2-4D4D-8E7F-7E80073AF92D}" name="Has_Garage" dataDxfId="14"/>
    <tableColumn id="9" xr3:uid="{7D3772E8-6C86-4EBA-8699-B72B52E6D399}" name="Distance_to_Center_km" dataDxfId="12"/>
    <tableColumn id="10" xr3:uid="{B79BEDED-A51E-441D-A362-EC1C8E80DB80}" name="Monthly_Utilities_PLN" dataDxfId="13"/>
    <tableColumn id="11" xr3:uid="{162A44AA-2D61-424F-AFE1-D20AB775221F}" name="Elevator" dataDxfId="4"/>
    <tableColumn id="12" xr3:uid="{4180B8CF-144B-473F-BB9A-E5923B5FBF04}" name="Type" dataDxfId="3"/>
    <tableColumn id="13" xr3:uid="{E7D74FB2-7DB1-4DC0-AB5E-F329DA900052}" name="Sale_Date" dataDxfId="1"/>
    <tableColumn id="14" xr3:uid="{834B062D-4A28-4D9F-8DDA-7F84ADBF4745}" name="Total_Price_PLN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  <outlinePr summaryBelow="0" summaryRight="0"/>
  </sheetPr>
  <dimension ref="A1:T1002"/>
  <sheetViews>
    <sheetView workbookViewId="0">
      <selection activeCell="C1" sqref="C1"/>
    </sheetView>
  </sheetViews>
  <sheetFormatPr defaultColWidth="12.6640625" defaultRowHeight="15" customHeight="1" x14ac:dyDescent="0.25"/>
  <cols>
    <col min="1" max="1" width="6.21875" customWidth="1"/>
  </cols>
  <sheetData>
    <row r="1" spans="1:20" ht="13.2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20" ht="15" customHeight="1" x14ac:dyDescent="0.3">
      <c r="A2" s="1">
        <v>1</v>
      </c>
      <c r="B2" s="1" t="s">
        <v>14</v>
      </c>
      <c r="C2" s="5">
        <v>4884.3500000000004</v>
      </c>
      <c r="D2" s="3">
        <v>145</v>
      </c>
      <c r="E2" s="1">
        <v>3</v>
      </c>
      <c r="F2" s="1">
        <v>2018</v>
      </c>
      <c r="G2" s="1" t="s">
        <v>15</v>
      </c>
      <c r="H2" s="1" t="b">
        <v>1</v>
      </c>
      <c r="I2" s="6" t="s">
        <v>16</v>
      </c>
      <c r="J2" s="1">
        <v>938</v>
      </c>
      <c r="K2" s="1" t="b">
        <v>0</v>
      </c>
      <c r="L2" s="1" t="s">
        <v>17</v>
      </c>
      <c r="M2" s="7">
        <v>43928</v>
      </c>
      <c r="N2" s="1">
        <v>708230</v>
      </c>
    </row>
    <row r="3" spans="1:20" ht="15" customHeight="1" x14ac:dyDescent="0.3">
      <c r="A3" s="1">
        <v>2</v>
      </c>
      <c r="B3" s="1" t="s">
        <v>14</v>
      </c>
      <c r="C3" s="5">
        <v>4539</v>
      </c>
      <c r="D3" s="3">
        <v>30</v>
      </c>
      <c r="E3" s="1">
        <v>5</v>
      </c>
      <c r="F3" s="1">
        <v>1965</v>
      </c>
      <c r="G3" s="1" t="s">
        <v>18</v>
      </c>
      <c r="H3" s="1" t="b">
        <v>0</v>
      </c>
      <c r="I3" s="6" t="s">
        <v>19</v>
      </c>
      <c r="J3" s="1">
        <v>773</v>
      </c>
      <c r="K3" s="1" t="b">
        <v>1</v>
      </c>
      <c r="L3" s="1" t="s">
        <v>17</v>
      </c>
      <c r="M3" s="7">
        <v>43227</v>
      </c>
      <c r="N3" s="1">
        <v>136180</v>
      </c>
    </row>
    <row r="4" spans="1:20" ht="15" customHeight="1" x14ac:dyDescent="0.3">
      <c r="A4" s="1">
        <v>3</v>
      </c>
      <c r="B4" s="1" t="s">
        <v>14</v>
      </c>
      <c r="C4" s="5">
        <v>6057.12</v>
      </c>
      <c r="D4" s="3">
        <v>77</v>
      </c>
      <c r="E4" s="1">
        <v>1</v>
      </c>
      <c r="F4" s="1">
        <v>2000</v>
      </c>
      <c r="G4" s="1" t="s">
        <v>15</v>
      </c>
      <c r="H4" s="1" t="b">
        <v>0</v>
      </c>
      <c r="I4" s="6" t="s">
        <v>20</v>
      </c>
      <c r="J4" s="1">
        <v>327</v>
      </c>
      <c r="K4" s="1" t="b">
        <v>0</v>
      </c>
      <c r="L4" s="1" t="s">
        <v>17</v>
      </c>
      <c r="M4" s="7">
        <v>43704</v>
      </c>
      <c r="N4" s="1">
        <v>466398</v>
      </c>
    </row>
    <row r="5" spans="1:20" ht="15" customHeight="1" x14ac:dyDescent="0.3">
      <c r="A5" s="1">
        <v>4</v>
      </c>
      <c r="B5" s="1" t="s">
        <v>14</v>
      </c>
      <c r="C5" s="5">
        <v>5361.4</v>
      </c>
      <c r="D5" s="3">
        <v>65</v>
      </c>
      <c r="E5" s="1">
        <v>1</v>
      </c>
      <c r="F5" s="1">
        <v>1973</v>
      </c>
      <c r="G5" s="1" t="s">
        <v>21</v>
      </c>
      <c r="H5" s="1" t="b">
        <v>1</v>
      </c>
      <c r="I5" s="6" t="s">
        <v>22</v>
      </c>
      <c r="J5" s="1">
        <v>1954</v>
      </c>
      <c r="K5" s="1" t="b">
        <v>1</v>
      </c>
      <c r="L5" s="1" t="s">
        <v>17</v>
      </c>
      <c r="M5" s="7">
        <v>43518</v>
      </c>
      <c r="N5" s="1">
        <v>348491</v>
      </c>
    </row>
    <row r="6" spans="1:20" ht="15" customHeight="1" x14ac:dyDescent="0.3">
      <c r="A6" s="1">
        <v>5</v>
      </c>
      <c r="B6" s="1" t="s">
        <v>14</v>
      </c>
      <c r="C6" s="5">
        <v>5821.9</v>
      </c>
      <c r="D6" s="3">
        <v>141</v>
      </c>
      <c r="E6" s="1">
        <v>3</v>
      </c>
      <c r="F6" s="1">
        <v>1999</v>
      </c>
      <c r="G6" s="1" t="s">
        <v>18</v>
      </c>
      <c r="H6" s="1" t="b">
        <v>0</v>
      </c>
      <c r="I6" s="6" t="s">
        <v>23</v>
      </c>
      <c r="J6" s="1">
        <v>1596</v>
      </c>
      <c r="K6" s="1" t="b">
        <v>0</v>
      </c>
      <c r="L6" s="1" t="s">
        <v>17</v>
      </c>
      <c r="M6" s="7">
        <v>44303</v>
      </c>
      <c r="N6" s="1">
        <v>820887</v>
      </c>
    </row>
    <row r="7" spans="1:20" ht="15" customHeight="1" x14ac:dyDescent="0.3">
      <c r="A7" s="1">
        <v>6</v>
      </c>
      <c r="B7" s="1" t="s">
        <v>14</v>
      </c>
      <c r="C7" s="5">
        <v>5261.06</v>
      </c>
      <c r="D7" s="3">
        <v>149</v>
      </c>
      <c r="E7" s="1">
        <v>1</v>
      </c>
      <c r="F7" s="1">
        <v>1983</v>
      </c>
      <c r="G7" s="1" t="s">
        <v>15</v>
      </c>
      <c r="H7" s="1" t="b">
        <v>0</v>
      </c>
      <c r="I7" s="6" t="s">
        <v>24</v>
      </c>
      <c r="J7" s="1">
        <v>922</v>
      </c>
      <c r="K7" s="1" t="b">
        <v>0</v>
      </c>
      <c r="L7" s="1" t="s">
        <v>17</v>
      </c>
      <c r="M7" s="7">
        <v>44484</v>
      </c>
      <c r="N7" s="1">
        <v>783897</v>
      </c>
    </row>
    <row r="8" spans="1:20" ht="15" customHeight="1" x14ac:dyDescent="0.3">
      <c r="A8" s="1">
        <v>7</v>
      </c>
      <c r="B8" s="1" t="s">
        <v>14</v>
      </c>
      <c r="C8" s="5">
        <v>6402.79</v>
      </c>
      <c r="D8" s="3">
        <v>59</v>
      </c>
      <c r="E8" s="1">
        <v>2</v>
      </c>
      <c r="F8" s="1">
        <v>1962</v>
      </c>
      <c r="G8" s="1" t="s">
        <v>15</v>
      </c>
      <c r="H8" s="1" t="b">
        <v>0</v>
      </c>
      <c r="I8" s="6" t="s">
        <v>25</v>
      </c>
      <c r="J8" s="1">
        <v>1769</v>
      </c>
      <c r="K8" s="1" t="b">
        <v>0</v>
      </c>
      <c r="L8" s="1" t="s">
        <v>17</v>
      </c>
      <c r="M8" s="7">
        <v>44582</v>
      </c>
      <c r="N8" s="1">
        <v>377764</v>
      </c>
      <c r="O8" s="1"/>
      <c r="P8" s="1"/>
      <c r="Q8" s="1"/>
      <c r="R8" s="1"/>
      <c r="S8" s="1"/>
      <c r="T8" s="1"/>
    </row>
    <row r="9" spans="1:20" ht="15" customHeight="1" x14ac:dyDescent="0.3">
      <c r="A9" s="1">
        <v>8</v>
      </c>
      <c r="B9" s="1" t="s">
        <v>26</v>
      </c>
      <c r="C9" s="5">
        <v>3893.67</v>
      </c>
      <c r="D9" s="3">
        <v>83</v>
      </c>
      <c r="E9" s="1">
        <v>2</v>
      </c>
      <c r="F9" s="1">
        <v>2001</v>
      </c>
      <c r="G9" s="1" t="s">
        <v>18</v>
      </c>
      <c r="H9" s="1" t="b">
        <v>1</v>
      </c>
      <c r="I9" s="6" t="s">
        <v>27</v>
      </c>
      <c r="J9" s="1">
        <v>662</v>
      </c>
      <c r="K9" s="1" t="b">
        <v>0</v>
      </c>
      <c r="L9" s="1" t="s">
        <v>17</v>
      </c>
      <c r="M9" s="7">
        <v>43217</v>
      </c>
      <c r="N9" s="1">
        <v>323174</v>
      </c>
      <c r="O9" s="1"/>
      <c r="P9" s="1"/>
      <c r="Q9" s="1"/>
      <c r="R9" s="1"/>
      <c r="S9" s="1"/>
      <c r="T9" s="1"/>
    </row>
    <row r="10" spans="1:20" ht="15" customHeight="1" x14ac:dyDescent="0.3">
      <c r="A10" s="1">
        <v>9</v>
      </c>
      <c r="B10" s="1" t="s">
        <v>26</v>
      </c>
      <c r="C10" s="5">
        <v>2380.25</v>
      </c>
      <c r="D10" s="3">
        <v>128</v>
      </c>
      <c r="E10" s="1">
        <v>2</v>
      </c>
      <c r="F10" s="1">
        <v>1961</v>
      </c>
      <c r="G10" s="1" t="s">
        <v>15</v>
      </c>
      <c r="H10" s="1" t="b">
        <v>0</v>
      </c>
      <c r="I10" s="6" t="s">
        <v>28</v>
      </c>
      <c r="J10" s="1">
        <v>1362</v>
      </c>
      <c r="K10" s="1" t="b">
        <v>0</v>
      </c>
      <c r="L10" s="1" t="s">
        <v>17</v>
      </c>
      <c r="M10" s="7">
        <v>43863</v>
      </c>
      <c r="N10" s="1">
        <v>304672</v>
      </c>
      <c r="O10" s="1"/>
      <c r="P10" s="1"/>
      <c r="Q10" s="1"/>
      <c r="R10" s="1"/>
      <c r="S10" s="1"/>
      <c r="T10" s="1"/>
    </row>
    <row r="11" spans="1:20" ht="15" customHeight="1" x14ac:dyDescent="0.3">
      <c r="A11" s="1">
        <v>10</v>
      </c>
      <c r="B11" s="1" t="s">
        <v>26</v>
      </c>
      <c r="C11" s="5">
        <v>4470.24</v>
      </c>
      <c r="D11" s="3">
        <v>70</v>
      </c>
      <c r="E11" s="1">
        <v>4</v>
      </c>
      <c r="F11" s="1">
        <v>1993</v>
      </c>
      <c r="G11" s="1" t="s">
        <v>29</v>
      </c>
      <c r="H11" s="1" t="b">
        <v>0</v>
      </c>
      <c r="I11" s="6" t="s">
        <v>30</v>
      </c>
      <c r="J11" s="1">
        <v>366</v>
      </c>
      <c r="K11" s="1" t="b">
        <v>0</v>
      </c>
      <c r="L11" s="1" t="s">
        <v>17</v>
      </c>
      <c r="M11" s="7">
        <v>44593</v>
      </c>
      <c r="N11" s="1">
        <v>312916</v>
      </c>
      <c r="O11" s="1"/>
      <c r="P11" s="1"/>
      <c r="Q11" s="1"/>
      <c r="R11" s="1"/>
      <c r="S11" s="1"/>
      <c r="T11" s="1"/>
    </row>
    <row r="12" spans="1:20" ht="15" customHeight="1" x14ac:dyDescent="0.3">
      <c r="A12" s="1">
        <v>11</v>
      </c>
      <c r="B12" s="1" t="s">
        <v>26</v>
      </c>
      <c r="C12" s="5">
        <v>5513.27</v>
      </c>
      <c r="D12" s="3">
        <v>129</v>
      </c>
      <c r="E12" s="1">
        <v>2</v>
      </c>
      <c r="F12" s="1">
        <v>1978</v>
      </c>
      <c r="G12" s="1" t="s">
        <v>15</v>
      </c>
      <c r="H12" s="1" t="b">
        <v>0</v>
      </c>
      <c r="I12" s="6" t="s">
        <v>31</v>
      </c>
      <c r="J12" s="1">
        <v>532</v>
      </c>
      <c r="K12" s="1" t="b">
        <v>0</v>
      </c>
      <c r="L12" s="1" t="s">
        <v>17</v>
      </c>
      <c r="M12" s="7">
        <v>44067</v>
      </c>
      <c r="N12" s="1">
        <v>711211</v>
      </c>
      <c r="O12" s="1"/>
      <c r="P12" s="1"/>
      <c r="Q12" s="1"/>
      <c r="R12" s="1"/>
      <c r="S12" s="1"/>
      <c r="T12" s="1"/>
    </row>
    <row r="13" spans="1:20" ht="15" customHeight="1" x14ac:dyDescent="0.3">
      <c r="A13" s="1">
        <v>12</v>
      </c>
      <c r="B13" s="1" t="s">
        <v>26</v>
      </c>
      <c r="C13" s="5">
        <v>3081.23</v>
      </c>
      <c r="D13" s="3">
        <v>139</v>
      </c>
      <c r="E13" s="1">
        <v>5</v>
      </c>
      <c r="F13" s="1">
        <v>1985</v>
      </c>
      <c r="G13" s="1" t="s">
        <v>29</v>
      </c>
      <c r="H13" s="1" t="b">
        <v>1</v>
      </c>
      <c r="I13" s="6" t="s">
        <v>32</v>
      </c>
      <c r="J13" s="1">
        <v>1176</v>
      </c>
      <c r="K13" s="1" t="b">
        <v>1</v>
      </c>
      <c r="L13" s="1" t="s">
        <v>17</v>
      </c>
      <c r="M13" s="7">
        <v>44495</v>
      </c>
      <c r="N13" s="1">
        <v>428290</v>
      </c>
      <c r="O13" s="1"/>
      <c r="P13" s="1"/>
      <c r="Q13" s="1"/>
      <c r="R13" s="1"/>
      <c r="S13" s="1"/>
      <c r="T13" s="1"/>
    </row>
    <row r="14" spans="1:20" ht="15" customHeight="1" x14ac:dyDescent="0.3">
      <c r="A14" s="1">
        <v>13</v>
      </c>
      <c r="B14" s="1" t="s">
        <v>26</v>
      </c>
      <c r="C14" s="5">
        <v>4973.49</v>
      </c>
      <c r="D14" s="3">
        <v>59</v>
      </c>
      <c r="E14" s="1">
        <v>4</v>
      </c>
      <c r="F14" s="1">
        <v>1973</v>
      </c>
      <c r="G14" s="1" t="s">
        <v>29</v>
      </c>
      <c r="H14" s="1" t="b">
        <v>0</v>
      </c>
      <c r="I14" s="6" t="s">
        <v>33</v>
      </c>
      <c r="J14" s="1">
        <v>1700</v>
      </c>
      <c r="K14" s="1" t="b">
        <v>1</v>
      </c>
      <c r="L14" s="1" t="s">
        <v>17</v>
      </c>
      <c r="M14" s="7">
        <v>43294</v>
      </c>
      <c r="N14" s="1">
        <v>293435</v>
      </c>
    </row>
    <row r="15" spans="1:20" ht="15" customHeight="1" x14ac:dyDescent="0.3">
      <c r="A15" s="1">
        <v>14</v>
      </c>
      <c r="B15" s="1" t="s">
        <v>26</v>
      </c>
      <c r="C15" s="5">
        <v>7463.24</v>
      </c>
      <c r="D15" s="3">
        <v>131</v>
      </c>
      <c r="E15" s="1">
        <v>4</v>
      </c>
      <c r="F15" s="1">
        <v>2011</v>
      </c>
      <c r="G15" s="1" t="s">
        <v>21</v>
      </c>
      <c r="H15" s="1" t="b">
        <v>1</v>
      </c>
      <c r="I15" s="6" t="s">
        <v>35</v>
      </c>
      <c r="J15" s="1">
        <v>1760</v>
      </c>
      <c r="K15" s="1" t="b">
        <v>1</v>
      </c>
      <c r="L15" s="1" t="s">
        <v>17</v>
      </c>
      <c r="M15" s="7">
        <v>44237</v>
      </c>
      <c r="N15" s="1">
        <v>977684</v>
      </c>
    </row>
    <row r="16" spans="1:20" ht="15" customHeight="1" x14ac:dyDescent="0.3">
      <c r="A16" s="1">
        <v>15</v>
      </c>
      <c r="B16" s="1" t="s">
        <v>26</v>
      </c>
      <c r="C16" s="5">
        <v>4009.46</v>
      </c>
      <c r="D16" s="3">
        <v>93</v>
      </c>
      <c r="E16" s="1">
        <v>5</v>
      </c>
      <c r="F16" s="1">
        <v>1961</v>
      </c>
      <c r="G16" s="1" t="s">
        <v>21</v>
      </c>
      <c r="H16" s="1" t="b">
        <v>1</v>
      </c>
      <c r="I16" s="6" t="s">
        <v>36</v>
      </c>
      <c r="J16" s="1">
        <v>1122</v>
      </c>
      <c r="K16" s="1" t="b">
        <v>0</v>
      </c>
      <c r="L16" s="1" t="s">
        <v>17</v>
      </c>
      <c r="M16" s="7">
        <v>44924</v>
      </c>
      <c r="N16" s="1">
        <v>372879</v>
      </c>
    </row>
    <row r="17" spans="1:14" ht="15" customHeight="1" x14ac:dyDescent="0.3">
      <c r="A17" s="1">
        <v>16</v>
      </c>
      <c r="B17" s="1" t="s">
        <v>26</v>
      </c>
      <c r="C17" s="5">
        <v>5473.59</v>
      </c>
      <c r="D17" s="3">
        <v>64</v>
      </c>
      <c r="E17" s="1">
        <v>1</v>
      </c>
      <c r="F17" s="1">
        <v>1965</v>
      </c>
      <c r="G17" s="1" t="s">
        <v>21</v>
      </c>
      <c r="H17" s="1" t="b">
        <v>1</v>
      </c>
      <c r="I17" s="6" t="s">
        <v>37</v>
      </c>
      <c r="J17" s="1">
        <v>528</v>
      </c>
      <c r="K17" s="1" t="b">
        <v>0</v>
      </c>
      <c r="L17" s="1" t="s">
        <v>17</v>
      </c>
      <c r="M17" s="7">
        <v>44891</v>
      </c>
      <c r="N17" s="1">
        <v>350309</v>
      </c>
    </row>
    <row r="18" spans="1:14" ht="15" customHeight="1" x14ac:dyDescent="0.3">
      <c r="A18" s="1">
        <v>17</v>
      </c>
      <c r="B18" s="1" t="s">
        <v>26</v>
      </c>
      <c r="C18" s="5">
        <v>4080.58</v>
      </c>
      <c r="D18" s="3">
        <v>93</v>
      </c>
      <c r="E18" s="1">
        <v>2</v>
      </c>
      <c r="F18" s="1">
        <v>2018</v>
      </c>
      <c r="G18" s="1" t="s">
        <v>29</v>
      </c>
      <c r="H18" s="1" t="b">
        <v>0</v>
      </c>
      <c r="I18" s="6" t="s">
        <v>39</v>
      </c>
      <c r="J18" s="1">
        <v>847</v>
      </c>
      <c r="K18" s="1" t="b">
        <v>0</v>
      </c>
      <c r="L18" s="1" t="s">
        <v>17</v>
      </c>
      <c r="M18" s="7">
        <v>43428</v>
      </c>
      <c r="N18" s="1">
        <v>379493</v>
      </c>
    </row>
    <row r="19" spans="1:14" ht="15" customHeight="1" x14ac:dyDescent="0.3">
      <c r="A19" s="1">
        <v>18</v>
      </c>
      <c r="B19" s="1" t="s">
        <v>38</v>
      </c>
      <c r="C19" s="5">
        <v>3012.43</v>
      </c>
      <c r="D19" s="3">
        <v>122</v>
      </c>
      <c r="E19" s="1">
        <v>4</v>
      </c>
      <c r="F19" s="1">
        <v>2010</v>
      </c>
      <c r="G19" s="1" t="s">
        <v>29</v>
      </c>
      <c r="H19" s="1" t="b">
        <v>0</v>
      </c>
      <c r="I19" s="6" t="s">
        <v>41</v>
      </c>
      <c r="J19" s="1">
        <v>425</v>
      </c>
      <c r="K19" s="1" t="b">
        <v>0</v>
      </c>
      <c r="L19" s="1" t="s">
        <v>17</v>
      </c>
      <c r="M19" s="7">
        <v>45091</v>
      </c>
      <c r="N19" s="1">
        <v>367516</v>
      </c>
    </row>
    <row r="20" spans="1:14" ht="15" customHeight="1" x14ac:dyDescent="0.3">
      <c r="A20" s="1">
        <v>19</v>
      </c>
      <c r="B20" s="1" t="s">
        <v>38</v>
      </c>
      <c r="C20" s="5">
        <v>4780.33</v>
      </c>
      <c r="D20" s="3">
        <v>47</v>
      </c>
      <c r="E20" s="1">
        <v>2</v>
      </c>
      <c r="F20" s="1">
        <v>2000</v>
      </c>
      <c r="G20" s="1" t="s">
        <v>18</v>
      </c>
      <c r="H20" s="1" t="b">
        <v>0</v>
      </c>
      <c r="I20" s="6" t="s">
        <v>42</v>
      </c>
      <c r="J20" s="1">
        <v>1111</v>
      </c>
      <c r="K20" s="1" t="b">
        <v>1</v>
      </c>
      <c r="L20" s="1" t="s">
        <v>17</v>
      </c>
      <c r="M20" s="7">
        <v>44304</v>
      </c>
      <c r="N20" s="1">
        <v>224675</v>
      </c>
    </row>
    <row r="21" spans="1:14" ht="15" customHeight="1" x14ac:dyDescent="0.3">
      <c r="A21" s="1">
        <v>20</v>
      </c>
      <c r="B21" s="1" t="s">
        <v>38</v>
      </c>
      <c r="C21" s="5">
        <v>5357.11</v>
      </c>
      <c r="D21" s="3">
        <v>139</v>
      </c>
      <c r="E21" s="1">
        <v>1</v>
      </c>
      <c r="F21" s="1">
        <v>1992</v>
      </c>
      <c r="G21" s="1" t="s">
        <v>15</v>
      </c>
      <c r="H21" s="1" t="b">
        <v>0</v>
      </c>
      <c r="I21" s="6" t="s">
        <v>43</v>
      </c>
      <c r="J21" s="1">
        <v>836</v>
      </c>
      <c r="K21" s="1" t="b">
        <v>1</v>
      </c>
      <c r="L21" s="1" t="s">
        <v>17</v>
      </c>
      <c r="M21" s="7">
        <v>43810</v>
      </c>
      <c r="N21" s="1">
        <v>744638</v>
      </c>
    </row>
    <row r="22" spans="1:14" ht="15" customHeight="1" x14ac:dyDescent="0.3">
      <c r="A22" s="1">
        <v>21</v>
      </c>
      <c r="B22" s="1" t="s">
        <v>38</v>
      </c>
      <c r="C22" s="5">
        <v>4838.71</v>
      </c>
      <c r="D22" s="3">
        <v>105</v>
      </c>
      <c r="E22" s="1">
        <v>5</v>
      </c>
      <c r="F22" s="1">
        <v>1985</v>
      </c>
      <c r="G22" s="1" t="s">
        <v>18</v>
      </c>
      <c r="H22" s="1" t="b">
        <v>1</v>
      </c>
      <c r="I22" s="6" t="s">
        <v>44</v>
      </c>
      <c r="J22" s="1">
        <v>1841</v>
      </c>
      <c r="K22" s="1" t="b">
        <v>1</v>
      </c>
      <c r="L22" s="1" t="s">
        <v>17</v>
      </c>
      <c r="M22" s="7">
        <v>45180</v>
      </c>
      <c r="N22" s="1">
        <v>508064</v>
      </c>
    </row>
    <row r="23" spans="1:14" ht="15" customHeight="1" x14ac:dyDescent="0.3">
      <c r="A23" s="1">
        <v>22</v>
      </c>
      <c r="B23" s="1" t="s">
        <v>38</v>
      </c>
      <c r="C23" s="5">
        <v>5791.03</v>
      </c>
      <c r="D23" s="3">
        <v>127</v>
      </c>
      <c r="E23" s="1">
        <v>3</v>
      </c>
      <c r="F23" s="1">
        <v>1966</v>
      </c>
      <c r="G23" s="1" t="s">
        <v>15</v>
      </c>
      <c r="H23" s="1" t="b">
        <v>1</v>
      </c>
      <c r="I23" s="6" t="s">
        <v>45</v>
      </c>
      <c r="J23" s="1">
        <v>1673</v>
      </c>
      <c r="K23" s="1" t="b">
        <v>0</v>
      </c>
      <c r="L23" s="1" t="s">
        <v>17</v>
      </c>
      <c r="M23" s="7">
        <v>43900</v>
      </c>
      <c r="N23" s="1">
        <v>735460</v>
      </c>
    </row>
    <row r="24" spans="1:14" ht="15" customHeight="1" x14ac:dyDescent="0.3">
      <c r="A24" s="1">
        <v>23</v>
      </c>
      <c r="B24" s="1" t="s">
        <v>38</v>
      </c>
      <c r="C24" s="5">
        <v>7190.46</v>
      </c>
      <c r="D24" s="3">
        <v>140</v>
      </c>
      <c r="E24" s="1">
        <v>2</v>
      </c>
      <c r="F24" s="1">
        <v>1998</v>
      </c>
      <c r="G24" s="1" t="s">
        <v>29</v>
      </c>
      <c r="H24" s="1" t="b">
        <v>0</v>
      </c>
      <c r="I24" s="6" t="s">
        <v>46</v>
      </c>
      <c r="J24" s="1">
        <v>1987</v>
      </c>
      <c r="K24" s="1" t="b">
        <v>0</v>
      </c>
      <c r="L24" s="1" t="s">
        <v>17</v>
      </c>
      <c r="M24" s="7">
        <v>43155</v>
      </c>
      <c r="N24" s="1">
        <v>1006664</v>
      </c>
    </row>
    <row r="25" spans="1:14" ht="15" customHeight="1" x14ac:dyDescent="0.3">
      <c r="A25" s="1">
        <v>24</v>
      </c>
      <c r="B25" s="1" t="s">
        <v>40</v>
      </c>
      <c r="C25" s="5">
        <v>4160.78</v>
      </c>
      <c r="D25" s="3">
        <v>48</v>
      </c>
      <c r="E25" s="1">
        <v>3</v>
      </c>
      <c r="F25" s="1">
        <v>1988</v>
      </c>
      <c r="G25" s="1" t="s">
        <v>15</v>
      </c>
      <c r="H25" s="1" t="b">
        <v>1</v>
      </c>
      <c r="I25" s="6" t="s">
        <v>47</v>
      </c>
      <c r="J25" s="1">
        <v>1182</v>
      </c>
      <c r="K25" s="1" t="b">
        <v>0</v>
      </c>
      <c r="L25" s="1" t="s">
        <v>17</v>
      </c>
      <c r="M25" s="7">
        <v>44955</v>
      </c>
      <c r="N25" s="1">
        <v>199717</v>
      </c>
    </row>
    <row r="26" spans="1:14" ht="15" customHeight="1" x14ac:dyDescent="0.3">
      <c r="A26" s="1">
        <v>25</v>
      </c>
      <c r="B26" s="1" t="s">
        <v>40</v>
      </c>
      <c r="C26" s="5">
        <v>5331.26</v>
      </c>
      <c r="D26" s="3">
        <v>109</v>
      </c>
      <c r="E26" s="1">
        <v>1</v>
      </c>
      <c r="F26" s="1">
        <v>1972</v>
      </c>
      <c r="G26" s="1" t="s">
        <v>15</v>
      </c>
      <c r="H26" s="1" t="b">
        <v>1</v>
      </c>
      <c r="I26" s="6" t="s">
        <v>48</v>
      </c>
      <c r="J26" s="1">
        <v>1326</v>
      </c>
      <c r="K26" s="1" t="b">
        <v>1</v>
      </c>
      <c r="L26" s="1" t="s">
        <v>17</v>
      </c>
      <c r="M26" s="7">
        <v>44036</v>
      </c>
      <c r="N26" s="1">
        <v>581107</v>
      </c>
    </row>
    <row r="27" spans="1:14" ht="15" customHeight="1" x14ac:dyDescent="0.3">
      <c r="A27" s="1">
        <v>26</v>
      </c>
      <c r="B27" s="1" t="s">
        <v>40</v>
      </c>
      <c r="C27" s="5">
        <v>3803.79</v>
      </c>
      <c r="D27" s="3">
        <v>149</v>
      </c>
      <c r="E27" s="1">
        <v>2</v>
      </c>
      <c r="F27" s="1">
        <v>1959</v>
      </c>
      <c r="G27" s="1" t="s">
        <v>21</v>
      </c>
      <c r="H27" s="1" t="b">
        <v>1</v>
      </c>
      <c r="I27" s="6" t="s">
        <v>49</v>
      </c>
      <c r="J27" s="1">
        <v>1831</v>
      </c>
      <c r="K27" s="1" t="b">
        <v>0</v>
      </c>
      <c r="L27" s="1" t="s">
        <v>17</v>
      </c>
      <c r="M27" s="7">
        <v>44037</v>
      </c>
      <c r="N27" s="1">
        <v>566764</v>
      </c>
    </row>
    <row r="28" spans="1:14" ht="15" customHeight="1" x14ac:dyDescent="0.3">
      <c r="A28" s="1">
        <v>27</v>
      </c>
      <c r="B28" s="1" t="s">
        <v>40</v>
      </c>
      <c r="C28" s="5">
        <v>5812.53</v>
      </c>
      <c r="D28" s="3">
        <v>62</v>
      </c>
      <c r="E28" s="1">
        <v>3</v>
      </c>
      <c r="F28" s="1">
        <v>1968</v>
      </c>
      <c r="G28" s="1" t="s">
        <v>29</v>
      </c>
      <c r="H28" s="1" t="b">
        <v>1</v>
      </c>
      <c r="I28" s="6" t="s">
        <v>50</v>
      </c>
      <c r="J28" s="1">
        <v>1597</v>
      </c>
      <c r="K28" s="1" t="b">
        <v>0</v>
      </c>
      <c r="L28" s="1" t="s">
        <v>17</v>
      </c>
      <c r="M28" s="7">
        <v>43675</v>
      </c>
      <c r="N28" s="1">
        <v>360376</v>
      </c>
    </row>
    <row r="29" spans="1:14" ht="15" customHeight="1" x14ac:dyDescent="0.3">
      <c r="A29" s="1">
        <v>28</v>
      </c>
      <c r="B29" s="1" t="s">
        <v>40</v>
      </c>
      <c r="C29" s="5">
        <v>4354.88</v>
      </c>
      <c r="D29" s="3">
        <v>101</v>
      </c>
      <c r="E29" s="1">
        <v>1</v>
      </c>
      <c r="F29" s="1">
        <v>1965</v>
      </c>
      <c r="G29" s="1" t="s">
        <v>29</v>
      </c>
      <c r="H29" s="1" t="b">
        <v>0</v>
      </c>
      <c r="I29" s="6" t="s">
        <v>51</v>
      </c>
      <c r="J29" s="1">
        <v>1515</v>
      </c>
      <c r="K29" s="1" t="b">
        <v>0</v>
      </c>
      <c r="L29" s="1" t="s">
        <v>17</v>
      </c>
      <c r="M29" s="7">
        <v>43575</v>
      </c>
      <c r="N29" s="1">
        <v>439842</v>
      </c>
    </row>
    <row r="30" spans="1:14" ht="15" customHeight="1" x14ac:dyDescent="0.3">
      <c r="A30" s="1">
        <v>29</v>
      </c>
      <c r="B30" s="1" t="s">
        <v>40</v>
      </c>
      <c r="C30" s="5">
        <v>5087.05</v>
      </c>
      <c r="D30" s="3">
        <v>118</v>
      </c>
      <c r="E30" s="1">
        <v>2</v>
      </c>
      <c r="F30" s="1">
        <v>1984</v>
      </c>
      <c r="G30" s="1" t="s">
        <v>18</v>
      </c>
      <c r="H30" s="1" t="b">
        <v>0</v>
      </c>
      <c r="I30" s="6" t="s">
        <v>52</v>
      </c>
      <c r="J30" s="1">
        <v>1554</v>
      </c>
      <c r="K30" s="1" t="b">
        <v>0</v>
      </c>
      <c r="L30" s="1" t="s">
        <v>17</v>
      </c>
      <c r="M30" s="7">
        <v>44306</v>
      </c>
      <c r="N30" s="1">
        <v>600271</v>
      </c>
    </row>
    <row r="31" spans="1:14" ht="15" customHeight="1" x14ac:dyDescent="0.3">
      <c r="A31" s="1">
        <v>30</v>
      </c>
      <c r="B31" s="1" t="s">
        <v>40</v>
      </c>
      <c r="C31" s="5">
        <v>4481.7299999999996</v>
      </c>
      <c r="D31" s="3">
        <v>95</v>
      </c>
      <c r="E31" s="1">
        <v>5</v>
      </c>
      <c r="F31" s="1">
        <v>2016</v>
      </c>
      <c r="G31" s="1" t="s">
        <v>21</v>
      </c>
      <c r="H31" s="1" t="b">
        <v>0</v>
      </c>
      <c r="I31" s="6" t="s">
        <v>53</v>
      </c>
      <c r="J31" s="1">
        <v>1848</v>
      </c>
      <c r="K31" s="1" t="b">
        <v>1</v>
      </c>
      <c r="L31" s="1" t="s">
        <v>17</v>
      </c>
      <c r="M31" s="7">
        <v>44285</v>
      </c>
      <c r="N31" s="1">
        <v>425764</v>
      </c>
    </row>
    <row r="32" spans="1:14" ht="15" customHeight="1" x14ac:dyDescent="0.3">
      <c r="A32" s="1">
        <v>31</v>
      </c>
      <c r="B32" s="1" t="s">
        <v>40</v>
      </c>
      <c r="C32" s="5">
        <v>4191.51</v>
      </c>
      <c r="D32" s="3">
        <v>83</v>
      </c>
      <c r="E32" s="1">
        <v>4</v>
      </c>
      <c r="F32" s="1">
        <v>2014</v>
      </c>
      <c r="G32" s="1" t="s">
        <v>29</v>
      </c>
      <c r="H32" s="1" t="b">
        <v>0</v>
      </c>
      <c r="I32" s="6" t="s">
        <v>55</v>
      </c>
      <c r="J32" s="1">
        <v>1535</v>
      </c>
      <c r="K32" s="1" t="b">
        <v>1</v>
      </c>
      <c r="L32" s="1" t="s">
        <v>17</v>
      </c>
      <c r="M32" s="7">
        <v>43385</v>
      </c>
      <c r="N32" s="1">
        <v>347895</v>
      </c>
    </row>
    <row r="33" spans="1:14" ht="14.4" x14ac:dyDescent="0.3">
      <c r="A33" s="1">
        <v>32</v>
      </c>
      <c r="B33" s="1" t="s">
        <v>40</v>
      </c>
      <c r="C33" s="5">
        <v>5296.12</v>
      </c>
      <c r="D33" s="3">
        <v>49</v>
      </c>
      <c r="E33" s="1">
        <v>2</v>
      </c>
      <c r="F33" s="1">
        <v>1975</v>
      </c>
      <c r="G33" s="1" t="s">
        <v>21</v>
      </c>
      <c r="H33" s="1" t="b">
        <v>0</v>
      </c>
      <c r="I33" s="6" t="s">
        <v>56</v>
      </c>
      <c r="J33" s="1">
        <v>333</v>
      </c>
      <c r="K33" s="1" t="b">
        <v>1</v>
      </c>
      <c r="L33" s="1" t="s">
        <v>17</v>
      </c>
      <c r="M33" s="7">
        <v>44825</v>
      </c>
      <c r="N33" s="1">
        <v>259509</v>
      </c>
    </row>
    <row r="34" spans="1:14" ht="14.4" x14ac:dyDescent="0.3">
      <c r="A34" s="1">
        <v>33</v>
      </c>
      <c r="B34" s="1" t="s">
        <v>40</v>
      </c>
      <c r="C34" s="5">
        <v>3831.32</v>
      </c>
      <c r="D34" s="3">
        <v>37</v>
      </c>
      <c r="E34" s="1">
        <v>2</v>
      </c>
      <c r="F34" s="1">
        <v>1962</v>
      </c>
      <c r="G34" s="1" t="s">
        <v>21</v>
      </c>
      <c r="H34" s="1" t="b">
        <v>0</v>
      </c>
      <c r="I34" s="6" t="s">
        <v>57</v>
      </c>
      <c r="J34" s="1">
        <v>1826</v>
      </c>
      <c r="K34" s="1" t="b">
        <v>0</v>
      </c>
      <c r="L34" s="1" t="s">
        <v>17</v>
      </c>
      <c r="M34" s="7">
        <v>43931</v>
      </c>
      <c r="N34" s="1">
        <v>141758</v>
      </c>
    </row>
    <row r="35" spans="1:14" ht="14.4" x14ac:dyDescent="0.3">
      <c r="A35" s="1">
        <v>34</v>
      </c>
      <c r="B35" s="1" t="s">
        <v>40</v>
      </c>
      <c r="C35" s="5">
        <v>4090.61</v>
      </c>
      <c r="D35" s="3">
        <v>50</v>
      </c>
      <c r="E35" s="1">
        <v>4</v>
      </c>
      <c r="F35" s="1">
        <v>2011</v>
      </c>
      <c r="G35" s="1" t="s">
        <v>29</v>
      </c>
      <c r="H35" s="1" t="b">
        <v>0</v>
      </c>
      <c r="I35" s="6" t="s">
        <v>58</v>
      </c>
      <c r="J35" s="1">
        <v>1142</v>
      </c>
      <c r="K35" s="1" t="b">
        <v>1</v>
      </c>
      <c r="L35" s="1" t="s">
        <v>17</v>
      </c>
      <c r="M35" s="7">
        <v>43878</v>
      </c>
      <c r="N35" s="1">
        <v>204530</v>
      </c>
    </row>
    <row r="36" spans="1:14" ht="14.4" x14ac:dyDescent="0.3">
      <c r="A36" s="1">
        <v>35</v>
      </c>
      <c r="B36" s="1" t="s">
        <v>40</v>
      </c>
      <c r="C36" s="5">
        <v>3598.15</v>
      </c>
      <c r="D36" s="3">
        <v>126</v>
      </c>
      <c r="E36" s="1">
        <v>2</v>
      </c>
      <c r="F36" s="1">
        <v>2008</v>
      </c>
      <c r="G36" s="1" t="s">
        <v>29</v>
      </c>
      <c r="H36" s="1" t="b">
        <v>0</v>
      </c>
      <c r="I36" s="6" t="s">
        <v>59</v>
      </c>
      <c r="J36" s="1">
        <v>649</v>
      </c>
      <c r="K36" s="1" t="b">
        <v>1</v>
      </c>
      <c r="L36" s="1" t="s">
        <v>17</v>
      </c>
      <c r="M36" s="7">
        <v>45002</v>
      </c>
      <c r="N36" s="1">
        <v>453366</v>
      </c>
    </row>
    <row r="37" spans="1:14" ht="14.4" x14ac:dyDescent="0.3">
      <c r="A37" s="1">
        <v>36</v>
      </c>
      <c r="B37" s="1" t="s">
        <v>40</v>
      </c>
      <c r="C37" s="5">
        <v>5099.6499999999996</v>
      </c>
      <c r="D37" s="3">
        <v>98</v>
      </c>
      <c r="E37" s="1">
        <v>4</v>
      </c>
      <c r="F37" s="1">
        <v>1968</v>
      </c>
      <c r="G37" s="1" t="s">
        <v>29</v>
      </c>
      <c r="H37" s="1" t="b">
        <v>1</v>
      </c>
      <c r="I37" s="6" t="s">
        <v>60</v>
      </c>
      <c r="J37" s="1">
        <v>1058</v>
      </c>
      <c r="K37" s="1" t="b">
        <v>1</v>
      </c>
      <c r="L37" s="1" t="s">
        <v>17</v>
      </c>
      <c r="M37" s="7">
        <v>43933</v>
      </c>
      <c r="N37" s="1">
        <v>499765</v>
      </c>
    </row>
    <row r="38" spans="1:14" ht="14.4" x14ac:dyDescent="0.3">
      <c r="A38" s="1">
        <v>37</v>
      </c>
      <c r="B38" s="1" t="s">
        <v>40</v>
      </c>
      <c r="C38" s="5">
        <v>4677.9399999999996</v>
      </c>
      <c r="D38" s="3">
        <v>73</v>
      </c>
      <c r="E38" s="1">
        <v>5</v>
      </c>
      <c r="F38" s="1">
        <v>2001</v>
      </c>
      <c r="G38" s="1" t="s">
        <v>18</v>
      </c>
      <c r="H38" s="1" t="b">
        <v>1</v>
      </c>
      <c r="I38" s="6" t="s">
        <v>61</v>
      </c>
      <c r="J38" s="1">
        <v>305</v>
      </c>
      <c r="K38" s="1" t="b">
        <v>1</v>
      </c>
      <c r="L38" s="1" t="s">
        <v>17</v>
      </c>
      <c r="M38" s="7">
        <v>44212</v>
      </c>
      <c r="N38" s="1">
        <v>341489</v>
      </c>
    </row>
    <row r="39" spans="1:14" ht="14.4" x14ac:dyDescent="0.3">
      <c r="A39" s="1">
        <v>38</v>
      </c>
      <c r="B39" s="1" t="s">
        <v>14</v>
      </c>
      <c r="C39" s="5">
        <v>5931.28</v>
      </c>
      <c r="D39" s="3">
        <v>128</v>
      </c>
      <c r="E39" s="1">
        <v>1</v>
      </c>
      <c r="F39" s="1">
        <v>1997</v>
      </c>
      <c r="G39" s="1" t="s">
        <v>15</v>
      </c>
      <c r="H39" s="1" t="b">
        <v>0</v>
      </c>
      <c r="I39" s="6" t="s">
        <v>49</v>
      </c>
      <c r="J39" s="1">
        <v>1635</v>
      </c>
      <c r="K39" s="1" t="b">
        <v>1</v>
      </c>
      <c r="L39" s="1" t="s">
        <v>54</v>
      </c>
      <c r="M39" s="7">
        <v>44306</v>
      </c>
      <c r="N39" s="1">
        <v>759203</v>
      </c>
    </row>
    <row r="40" spans="1:14" ht="14.4" x14ac:dyDescent="0.3">
      <c r="A40" s="1">
        <v>39</v>
      </c>
      <c r="B40" s="1" t="s">
        <v>14</v>
      </c>
      <c r="C40" s="5">
        <v>6538.04</v>
      </c>
      <c r="D40" s="3">
        <v>67</v>
      </c>
      <c r="E40" s="1">
        <v>3</v>
      </c>
      <c r="F40" s="1">
        <v>1951</v>
      </c>
      <c r="G40" s="1" t="s">
        <v>18</v>
      </c>
      <c r="H40" s="1" t="b">
        <v>1</v>
      </c>
      <c r="I40" s="6" t="s">
        <v>62</v>
      </c>
      <c r="J40" s="1">
        <v>784</v>
      </c>
      <c r="K40" s="1" t="b">
        <v>0</v>
      </c>
      <c r="L40" s="1" t="s">
        <v>54</v>
      </c>
      <c r="M40" s="7">
        <v>44039</v>
      </c>
      <c r="N40" s="1">
        <v>438048</v>
      </c>
    </row>
    <row r="41" spans="1:14" ht="14.4" x14ac:dyDescent="0.3">
      <c r="A41" s="1">
        <v>40</v>
      </c>
      <c r="B41" s="1" t="s">
        <v>14</v>
      </c>
      <c r="C41" s="5">
        <v>4700.99</v>
      </c>
      <c r="D41" s="3">
        <v>128</v>
      </c>
      <c r="E41" s="1">
        <v>1</v>
      </c>
      <c r="F41" s="1">
        <v>1982</v>
      </c>
      <c r="G41" s="1" t="s">
        <v>29</v>
      </c>
      <c r="H41" s="1" t="b">
        <v>0</v>
      </c>
      <c r="I41" s="6" t="s">
        <v>63</v>
      </c>
      <c r="J41" s="1">
        <v>385</v>
      </c>
      <c r="K41" s="1" t="b">
        <v>0</v>
      </c>
      <c r="L41" s="1" t="s">
        <v>54</v>
      </c>
      <c r="M41" s="7">
        <v>43764</v>
      </c>
      <c r="N41" s="1">
        <v>601726</v>
      </c>
    </row>
    <row r="42" spans="1:14" ht="14.4" x14ac:dyDescent="0.3">
      <c r="A42" s="1">
        <v>41</v>
      </c>
      <c r="B42" s="1" t="s">
        <v>14</v>
      </c>
      <c r="C42" s="5">
        <v>5091.76</v>
      </c>
      <c r="D42" s="3">
        <v>54</v>
      </c>
      <c r="E42" s="1">
        <v>5</v>
      </c>
      <c r="F42" s="1">
        <v>1982</v>
      </c>
      <c r="G42" s="1" t="s">
        <v>29</v>
      </c>
      <c r="H42" s="1" t="b">
        <v>0</v>
      </c>
      <c r="I42" s="6" t="s">
        <v>64</v>
      </c>
      <c r="J42" s="1">
        <v>1797</v>
      </c>
      <c r="K42" s="1" t="b">
        <v>1</v>
      </c>
      <c r="L42" s="1" t="s">
        <v>54</v>
      </c>
      <c r="M42" s="7">
        <v>43125</v>
      </c>
      <c r="N42" s="1">
        <v>274955</v>
      </c>
    </row>
    <row r="43" spans="1:14" ht="14.4" x14ac:dyDescent="0.3">
      <c r="A43" s="1">
        <v>42</v>
      </c>
      <c r="B43" s="1" t="s">
        <v>14</v>
      </c>
      <c r="C43" s="5">
        <v>4657.29</v>
      </c>
      <c r="D43" s="3">
        <v>36</v>
      </c>
      <c r="E43" s="1">
        <v>2</v>
      </c>
      <c r="F43" s="1">
        <v>2017</v>
      </c>
      <c r="G43" s="1" t="s">
        <v>29</v>
      </c>
      <c r="H43" s="1" t="b">
        <v>0</v>
      </c>
      <c r="I43" s="6" t="s">
        <v>65</v>
      </c>
      <c r="J43" s="1">
        <v>1047</v>
      </c>
      <c r="K43" s="1" t="b">
        <v>0</v>
      </c>
      <c r="L43" s="1" t="s">
        <v>54</v>
      </c>
      <c r="M43" s="7">
        <v>44893</v>
      </c>
      <c r="N43" s="1">
        <v>171554</v>
      </c>
    </row>
    <row r="44" spans="1:14" ht="14.4" x14ac:dyDescent="0.3">
      <c r="A44" s="1">
        <v>43</v>
      </c>
      <c r="B44" s="1" t="s">
        <v>14</v>
      </c>
      <c r="C44" s="5">
        <v>4657.29</v>
      </c>
      <c r="D44" s="3">
        <v>62</v>
      </c>
      <c r="E44" s="1">
        <v>5</v>
      </c>
      <c r="F44" s="1">
        <v>1985</v>
      </c>
      <c r="G44" s="1" t="s">
        <v>15</v>
      </c>
      <c r="H44" s="1" t="b">
        <v>1</v>
      </c>
      <c r="I44" s="6" t="s">
        <v>58</v>
      </c>
      <c r="J44" s="1">
        <v>724</v>
      </c>
      <c r="K44" s="1" t="b">
        <v>1</v>
      </c>
      <c r="L44" s="1" t="s">
        <v>54</v>
      </c>
      <c r="M44" s="7">
        <v>44052</v>
      </c>
      <c r="N44" s="1">
        <v>288751</v>
      </c>
    </row>
    <row r="45" spans="1:14" ht="14.4" x14ac:dyDescent="0.3">
      <c r="A45" s="1">
        <v>44</v>
      </c>
      <c r="B45" s="1" t="s">
        <v>14</v>
      </c>
      <c r="C45" s="5">
        <v>5174.58</v>
      </c>
      <c r="D45" s="3">
        <v>115</v>
      </c>
      <c r="E45" s="1">
        <v>4</v>
      </c>
      <c r="F45" s="1">
        <v>1973</v>
      </c>
      <c r="G45" s="1" t="s">
        <v>15</v>
      </c>
      <c r="H45" s="1" t="b">
        <v>0</v>
      </c>
      <c r="I45" s="6" t="s">
        <v>66</v>
      </c>
      <c r="J45" s="1">
        <v>1643</v>
      </c>
      <c r="K45" s="1" t="b">
        <v>1</v>
      </c>
      <c r="L45" s="1" t="s">
        <v>54</v>
      </c>
      <c r="M45" s="7">
        <v>43386</v>
      </c>
      <c r="N45" s="1">
        <v>595076</v>
      </c>
    </row>
    <row r="46" spans="1:14" ht="14.4" x14ac:dyDescent="0.3">
      <c r="A46" s="1">
        <v>45</v>
      </c>
      <c r="B46" s="1" t="s">
        <v>26</v>
      </c>
      <c r="C46" s="5">
        <v>3236.96</v>
      </c>
      <c r="D46" s="3">
        <v>98</v>
      </c>
      <c r="E46" s="1">
        <v>3</v>
      </c>
      <c r="F46" s="1">
        <v>1978</v>
      </c>
      <c r="G46" s="1" t="s">
        <v>15</v>
      </c>
      <c r="H46" s="1" t="b">
        <v>1</v>
      </c>
      <c r="I46" s="6" t="s">
        <v>67</v>
      </c>
      <c r="J46" s="1">
        <v>1539</v>
      </c>
      <c r="K46" s="1" t="b">
        <v>0</v>
      </c>
      <c r="L46" s="1" t="s">
        <v>54</v>
      </c>
      <c r="M46" s="7">
        <v>44114</v>
      </c>
      <c r="N46" s="1">
        <v>317222</v>
      </c>
    </row>
    <row r="47" spans="1:14" ht="14.4" x14ac:dyDescent="0.3">
      <c r="A47" s="1">
        <v>46</v>
      </c>
      <c r="B47" s="1" t="s">
        <v>26</v>
      </c>
      <c r="C47" s="5">
        <v>4520.83</v>
      </c>
      <c r="D47" s="3">
        <v>49</v>
      </c>
      <c r="E47" s="1">
        <v>2</v>
      </c>
      <c r="F47" s="1">
        <v>2018</v>
      </c>
      <c r="G47" s="1" t="s">
        <v>29</v>
      </c>
      <c r="H47" s="1" t="b">
        <v>1</v>
      </c>
      <c r="I47" s="6" t="s">
        <v>68</v>
      </c>
      <c r="J47" s="1">
        <v>1218</v>
      </c>
      <c r="K47" s="1" t="b">
        <v>0</v>
      </c>
      <c r="L47" s="1" t="s">
        <v>54</v>
      </c>
      <c r="M47" s="7">
        <v>44433</v>
      </c>
      <c r="N47" s="1">
        <v>221520</v>
      </c>
    </row>
    <row r="48" spans="1:14" ht="14.4" x14ac:dyDescent="0.3">
      <c r="A48" s="1">
        <v>47</v>
      </c>
      <c r="B48" s="1" t="s">
        <v>26</v>
      </c>
      <c r="C48" s="5">
        <v>6477.89</v>
      </c>
      <c r="D48" s="3">
        <v>111</v>
      </c>
      <c r="E48" s="1">
        <v>4</v>
      </c>
      <c r="F48" s="1">
        <v>1961</v>
      </c>
      <c r="G48" s="1" t="s">
        <v>21</v>
      </c>
      <c r="H48" s="1" t="b">
        <v>1</v>
      </c>
      <c r="I48" s="6" t="s">
        <v>69</v>
      </c>
      <c r="J48" s="1">
        <v>444</v>
      </c>
      <c r="K48" s="1" t="b">
        <v>0</v>
      </c>
      <c r="L48" s="1" t="s">
        <v>54</v>
      </c>
      <c r="M48" s="7">
        <v>44980</v>
      </c>
      <c r="N48" s="1">
        <v>719045</v>
      </c>
    </row>
    <row r="49" spans="1:14" ht="14.4" x14ac:dyDescent="0.3">
      <c r="A49" s="1">
        <v>48</v>
      </c>
      <c r="B49" s="1" t="s">
        <v>26</v>
      </c>
      <c r="C49" s="5">
        <v>5968.64</v>
      </c>
      <c r="D49" s="3">
        <v>97</v>
      </c>
      <c r="E49" s="1">
        <v>3</v>
      </c>
      <c r="F49" s="1">
        <v>1961</v>
      </c>
      <c r="G49" s="1" t="s">
        <v>29</v>
      </c>
      <c r="H49" s="1" t="b">
        <v>0</v>
      </c>
      <c r="I49" s="6" t="s">
        <v>70</v>
      </c>
      <c r="J49" s="1">
        <v>1469</v>
      </c>
      <c r="K49" s="1" t="b">
        <v>1</v>
      </c>
      <c r="L49" s="1" t="s">
        <v>54</v>
      </c>
      <c r="M49" s="7">
        <v>44208</v>
      </c>
      <c r="N49" s="1">
        <v>578958</v>
      </c>
    </row>
    <row r="50" spans="1:14" ht="14.4" x14ac:dyDescent="0.3">
      <c r="A50" s="1">
        <v>49</v>
      </c>
      <c r="B50" s="1" t="s">
        <v>26</v>
      </c>
      <c r="C50" s="5">
        <v>5404.05</v>
      </c>
      <c r="D50" s="3">
        <v>88</v>
      </c>
      <c r="E50" s="1">
        <v>4</v>
      </c>
      <c r="F50" s="1">
        <v>1959</v>
      </c>
      <c r="G50" s="1" t="s">
        <v>18</v>
      </c>
      <c r="H50" s="1" t="b">
        <v>0</v>
      </c>
      <c r="I50" s="6" t="s">
        <v>71</v>
      </c>
      <c r="J50" s="1">
        <v>991</v>
      </c>
      <c r="K50" s="1" t="b">
        <v>1</v>
      </c>
      <c r="L50" s="1" t="s">
        <v>54</v>
      </c>
      <c r="M50" s="7">
        <v>43529</v>
      </c>
      <c r="N50" s="1">
        <v>475556</v>
      </c>
    </row>
    <row r="51" spans="1:14" ht="14.4" x14ac:dyDescent="0.3">
      <c r="A51" s="1">
        <v>50</v>
      </c>
      <c r="B51" s="1" t="s">
        <v>26</v>
      </c>
      <c r="C51" s="5">
        <v>4496.5200000000004</v>
      </c>
      <c r="D51" s="3">
        <v>90</v>
      </c>
      <c r="E51" s="1">
        <v>5</v>
      </c>
      <c r="F51" s="1">
        <v>1958</v>
      </c>
      <c r="G51" s="1" t="s">
        <v>15</v>
      </c>
      <c r="H51" s="1" t="b">
        <v>1</v>
      </c>
      <c r="I51" s="6" t="s">
        <v>72</v>
      </c>
      <c r="J51" s="1">
        <v>1198</v>
      </c>
      <c r="K51" s="1" t="b">
        <v>1</v>
      </c>
      <c r="L51" s="1" t="s">
        <v>54</v>
      </c>
      <c r="M51" s="7">
        <v>43413</v>
      </c>
      <c r="N51" s="1">
        <v>404686</v>
      </c>
    </row>
    <row r="52" spans="1:14" ht="14.4" x14ac:dyDescent="0.3">
      <c r="A52" s="1">
        <v>51</v>
      </c>
      <c r="B52" s="1" t="s">
        <v>26</v>
      </c>
      <c r="C52" s="5">
        <v>3937.7</v>
      </c>
      <c r="D52" s="3">
        <v>33</v>
      </c>
      <c r="E52" s="1">
        <v>2</v>
      </c>
      <c r="F52" s="1">
        <v>2001</v>
      </c>
      <c r="G52" s="1" t="s">
        <v>29</v>
      </c>
      <c r="H52" s="1" t="b">
        <v>0</v>
      </c>
      <c r="I52" s="6" t="s">
        <v>73</v>
      </c>
      <c r="J52" s="1">
        <v>1363</v>
      </c>
      <c r="K52" s="1" t="b">
        <v>0</v>
      </c>
      <c r="L52" s="1" t="s">
        <v>54</v>
      </c>
      <c r="M52" s="7">
        <v>45107</v>
      </c>
      <c r="N52" s="1">
        <v>129944</v>
      </c>
    </row>
    <row r="53" spans="1:14" ht="14.4" x14ac:dyDescent="0.3">
      <c r="A53" s="1">
        <v>52</v>
      </c>
      <c r="B53" s="1" t="s">
        <v>26</v>
      </c>
      <c r="C53" s="5">
        <v>6549.93</v>
      </c>
      <c r="D53" s="3">
        <v>78</v>
      </c>
      <c r="E53" s="1">
        <v>1</v>
      </c>
      <c r="F53" s="1">
        <v>1961</v>
      </c>
      <c r="G53" s="1" t="s">
        <v>18</v>
      </c>
      <c r="H53" s="1" t="b">
        <v>0</v>
      </c>
      <c r="I53" s="6" t="s">
        <v>74</v>
      </c>
      <c r="J53" s="1">
        <v>1219</v>
      </c>
      <c r="K53" s="1" t="b">
        <v>1</v>
      </c>
      <c r="L53" s="1" t="s">
        <v>54</v>
      </c>
      <c r="M53" s="7">
        <v>44388</v>
      </c>
      <c r="N53" s="1">
        <v>510894</v>
      </c>
    </row>
    <row r="54" spans="1:14" ht="14.4" x14ac:dyDescent="0.3">
      <c r="A54" s="1">
        <v>53</v>
      </c>
      <c r="B54" s="1" t="s">
        <v>26</v>
      </c>
      <c r="C54" s="5">
        <v>4216.75</v>
      </c>
      <c r="D54" s="3">
        <v>46</v>
      </c>
      <c r="E54" s="1">
        <v>5</v>
      </c>
      <c r="F54" s="1">
        <v>1974</v>
      </c>
      <c r="G54" s="1" t="s">
        <v>29</v>
      </c>
      <c r="H54" s="1" t="b">
        <v>1</v>
      </c>
      <c r="I54" s="6" t="s">
        <v>75</v>
      </c>
      <c r="J54" s="1">
        <v>1546</v>
      </c>
      <c r="K54" s="1" t="b">
        <v>0</v>
      </c>
      <c r="L54" s="1" t="s">
        <v>54</v>
      </c>
      <c r="M54" s="7">
        <v>45244</v>
      </c>
      <c r="N54" s="1">
        <v>193970</v>
      </c>
    </row>
    <row r="55" spans="1:14" ht="14.4" x14ac:dyDescent="0.3">
      <c r="A55" s="1">
        <v>54</v>
      </c>
      <c r="B55" s="1" t="s">
        <v>26</v>
      </c>
      <c r="C55" s="5">
        <v>5813.52</v>
      </c>
      <c r="D55" s="3">
        <v>121</v>
      </c>
      <c r="E55" s="1">
        <v>1</v>
      </c>
      <c r="F55" s="1">
        <v>2002</v>
      </c>
      <c r="G55" s="1" t="s">
        <v>18</v>
      </c>
      <c r="H55" s="1" t="b">
        <v>1</v>
      </c>
      <c r="I55" s="6" t="s">
        <v>76</v>
      </c>
      <c r="J55" s="1">
        <v>1645</v>
      </c>
      <c r="K55" s="1" t="b">
        <v>1</v>
      </c>
      <c r="L55" s="1" t="s">
        <v>54</v>
      </c>
      <c r="M55" s="7">
        <v>44412</v>
      </c>
      <c r="N55" s="1">
        <v>703435</v>
      </c>
    </row>
    <row r="56" spans="1:14" ht="14.4" x14ac:dyDescent="0.3">
      <c r="A56" s="1">
        <v>55</v>
      </c>
      <c r="B56" s="1" t="s">
        <v>38</v>
      </c>
      <c r="C56" s="5">
        <v>5738.47</v>
      </c>
      <c r="D56" s="3">
        <v>119</v>
      </c>
      <c r="E56" s="1">
        <v>5</v>
      </c>
      <c r="F56" s="1">
        <v>2013</v>
      </c>
      <c r="G56" s="1" t="s">
        <v>21</v>
      </c>
      <c r="H56" s="1" t="b">
        <v>1</v>
      </c>
      <c r="I56" s="6" t="s">
        <v>77</v>
      </c>
      <c r="J56" s="1">
        <v>1018</v>
      </c>
      <c r="K56" s="1" t="b">
        <v>0</v>
      </c>
      <c r="L56" s="1" t="s">
        <v>54</v>
      </c>
      <c r="M56" s="7">
        <v>44085</v>
      </c>
      <c r="N56" s="1">
        <v>682877</v>
      </c>
    </row>
    <row r="57" spans="1:14" ht="14.4" x14ac:dyDescent="0.3">
      <c r="A57" s="1">
        <v>56</v>
      </c>
      <c r="B57" s="1" t="s">
        <v>38</v>
      </c>
      <c r="C57" s="5">
        <v>5343.62</v>
      </c>
      <c r="D57" s="3">
        <v>41</v>
      </c>
      <c r="E57" s="1">
        <v>5</v>
      </c>
      <c r="F57" s="1">
        <v>2006</v>
      </c>
      <c r="G57" s="1" t="s">
        <v>18</v>
      </c>
      <c r="H57" s="1" t="b">
        <v>1</v>
      </c>
      <c r="I57" s="6" t="s">
        <v>78</v>
      </c>
      <c r="J57" s="1">
        <v>377</v>
      </c>
      <c r="K57" s="1" t="b">
        <v>0</v>
      </c>
      <c r="L57" s="1" t="s">
        <v>54</v>
      </c>
      <c r="M57" s="7">
        <v>45029</v>
      </c>
      <c r="N57" s="1">
        <v>219088</v>
      </c>
    </row>
    <row r="58" spans="1:14" ht="14.4" x14ac:dyDescent="0.3">
      <c r="A58" s="1">
        <v>57</v>
      </c>
      <c r="B58" s="1" t="s">
        <v>38</v>
      </c>
      <c r="C58" s="5">
        <v>5738.47</v>
      </c>
      <c r="D58" s="3">
        <v>66</v>
      </c>
      <c r="E58" s="1">
        <v>4</v>
      </c>
      <c r="F58" s="1">
        <v>2018</v>
      </c>
      <c r="G58" s="1" t="s">
        <v>18</v>
      </c>
      <c r="H58" s="1" t="b">
        <v>0</v>
      </c>
      <c r="I58" s="6" t="s">
        <v>79</v>
      </c>
      <c r="J58" s="1">
        <v>1709</v>
      </c>
      <c r="K58" s="1" t="b">
        <v>1</v>
      </c>
      <c r="L58" s="1" t="s">
        <v>54</v>
      </c>
      <c r="M58" s="7">
        <v>43151</v>
      </c>
      <c r="N58" s="1">
        <v>351389</v>
      </c>
    </row>
    <row r="59" spans="1:14" ht="14.4" x14ac:dyDescent="0.3">
      <c r="A59" s="1">
        <v>58</v>
      </c>
      <c r="B59" s="1" t="s">
        <v>38</v>
      </c>
      <c r="C59" s="5">
        <v>5611.68</v>
      </c>
      <c r="D59" s="3">
        <v>38</v>
      </c>
      <c r="E59" s="1">
        <v>5</v>
      </c>
      <c r="F59" s="1">
        <v>2018</v>
      </c>
      <c r="G59" s="1" t="s">
        <v>15</v>
      </c>
      <c r="H59" s="1" t="b">
        <v>1</v>
      </c>
      <c r="I59" s="6" t="s">
        <v>80</v>
      </c>
      <c r="J59" s="1">
        <v>825</v>
      </c>
      <c r="K59" s="1" t="b">
        <v>0</v>
      </c>
      <c r="L59" s="1" t="s">
        <v>54</v>
      </c>
      <c r="M59" s="7">
        <v>44737</v>
      </c>
      <c r="N59" s="1">
        <v>213243</v>
      </c>
    </row>
    <row r="60" spans="1:14" ht="14.4" x14ac:dyDescent="0.3">
      <c r="A60" s="1">
        <v>59</v>
      </c>
      <c r="B60" s="1" t="s">
        <v>38</v>
      </c>
      <c r="C60" s="5">
        <v>5328.75</v>
      </c>
      <c r="D60" s="3">
        <v>90</v>
      </c>
      <c r="E60" s="1">
        <v>3</v>
      </c>
      <c r="F60" s="1">
        <v>1992</v>
      </c>
      <c r="G60" s="1" t="s">
        <v>21</v>
      </c>
      <c r="H60" s="1" t="b">
        <v>0</v>
      </c>
      <c r="I60" s="6" t="s">
        <v>81</v>
      </c>
      <c r="J60" s="1">
        <v>1717</v>
      </c>
      <c r="K60" s="1" t="b">
        <v>0</v>
      </c>
      <c r="L60" s="1" t="s">
        <v>54</v>
      </c>
      <c r="M60" s="7">
        <v>43762</v>
      </c>
      <c r="N60" s="1">
        <v>479587</v>
      </c>
    </row>
    <row r="61" spans="1:14" ht="14.4" x14ac:dyDescent="0.3">
      <c r="A61" s="1">
        <v>60</v>
      </c>
      <c r="B61" s="1" t="s">
        <v>38</v>
      </c>
      <c r="C61" s="5">
        <v>3584.63</v>
      </c>
      <c r="D61" s="3">
        <v>96</v>
      </c>
      <c r="E61" s="1">
        <v>3</v>
      </c>
      <c r="F61" s="1">
        <v>2007</v>
      </c>
      <c r="G61" s="1" t="s">
        <v>21</v>
      </c>
      <c r="H61" s="1" t="b">
        <v>1</v>
      </c>
      <c r="I61" s="6" t="s">
        <v>82</v>
      </c>
      <c r="J61" s="1">
        <v>894</v>
      </c>
      <c r="K61" s="1" t="b">
        <v>1</v>
      </c>
      <c r="L61" s="1" t="s">
        <v>54</v>
      </c>
      <c r="M61" s="7">
        <v>44860</v>
      </c>
      <c r="N61" s="1">
        <v>344124</v>
      </c>
    </row>
    <row r="62" spans="1:14" ht="14.4" x14ac:dyDescent="0.3">
      <c r="A62" s="1">
        <v>61</v>
      </c>
      <c r="B62" s="1" t="s">
        <v>38</v>
      </c>
      <c r="C62" s="5">
        <v>4579.3500000000004</v>
      </c>
      <c r="D62" s="3">
        <v>46</v>
      </c>
      <c r="E62" s="1">
        <v>4</v>
      </c>
      <c r="F62" s="1">
        <v>1978</v>
      </c>
      <c r="G62" s="1" t="s">
        <v>18</v>
      </c>
      <c r="H62" s="1" t="b">
        <v>1</v>
      </c>
      <c r="I62" s="6" t="s">
        <v>83</v>
      </c>
      <c r="J62" s="1">
        <v>1877</v>
      </c>
      <c r="K62" s="1" t="b">
        <v>1</v>
      </c>
      <c r="L62" s="1" t="s">
        <v>54</v>
      </c>
      <c r="M62" s="7">
        <v>44090</v>
      </c>
      <c r="N62" s="1">
        <v>210650</v>
      </c>
    </row>
    <row r="63" spans="1:14" ht="14.4" x14ac:dyDescent="0.3">
      <c r="A63" s="1">
        <v>62</v>
      </c>
      <c r="B63" s="1" t="s">
        <v>38</v>
      </c>
      <c r="C63" s="5">
        <v>5586.86</v>
      </c>
      <c r="D63" s="3">
        <v>57</v>
      </c>
      <c r="E63" s="1">
        <v>5</v>
      </c>
      <c r="F63" s="1">
        <v>1968</v>
      </c>
      <c r="G63" s="1" t="s">
        <v>15</v>
      </c>
      <c r="H63" s="1" t="b">
        <v>0</v>
      </c>
      <c r="I63" s="6" t="s">
        <v>79</v>
      </c>
      <c r="J63" s="1">
        <v>1930</v>
      </c>
      <c r="K63" s="1" t="b">
        <v>1</v>
      </c>
      <c r="L63" s="1" t="s">
        <v>54</v>
      </c>
      <c r="M63" s="7">
        <v>45235</v>
      </c>
      <c r="N63" s="1">
        <v>318451</v>
      </c>
    </row>
    <row r="64" spans="1:14" ht="14.4" x14ac:dyDescent="0.3">
      <c r="A64" s="1">
        <v>63</v>
      </c>
      <c r="B64" s="1" t="s">
        <v>40</v>
      </c>
      <c r="C64" s="5">
        <v>5171.37</v>
      </c>
      <c r="D64" s="3">
        <v>141</v>
      </c>
      <c r="E64" s="1">
        <v>5</v>
      </c>
      <c r="F64" s="1">
        <v>2012</v>
      </c>
      <c r="G64" s="1" t="s">
        <v>29</v>
      </c>
      <c r="H64" s="1" t="b">
        <v>0</v>
      </c>
      <c r="I64" s="6" t="s">
        <v>84</v>
      </c>
      <c r="J64" s="1">
        <v>602</v>
      </c>
      <c r="K64" s="1" t="b">
        <v>1</v>
      </c>
      <c r="L64" s="1" t="s">
        <v>54</v>
      </c>
      <c r="M64" s="7">
        <v>44740</v>
      </c>
      <c r="N64" s="1">
        <v>729163</v>
      </c>
    </row>
    <row r="65" spans="1:14" ht="14.4" x14ac:dyDescent="0.3">
      <c r="A65" s="1">
        <v>64</v>
      </c>
      <c r="B65" s="1" t="s">
        <v>40</v>
      </c>
      <c r="C65" s="5">
        <v>4690.79</v>
      </c>
      <c r="D65" s="3">
        <v>77</v>
      </c>
      <c r="E65" s="1">
        <v>2</v>
      </c>
      <c r="F65" s="1">
        <v>1982</v>
      </c>
      <c r="G65" s="1" t="s">
        <v>18</v>
      </c>
      <c r="H65" s="1" t="b">
        <v>0</v>
      </c>
      <c r="I65" s="6" t="s">
        <v>85</v>
      </c>
      <c r="J65" s="1">
        <v>1330</v>
      </c>
      <c r="K65" s="1" t="b">
        <v>0</v>
      </c>
      <c r="L65" s="1" t="s">
        <v>54</v>
      </c>
      <c r="M65" s="7">
        <v>43667</v>
      </c>
      <c r="N65" s="1">
        <v>361190</v>
      </c>
    </row>
    <row r="66" spans="1:14" ht="14.4" x14ac:dyDescent="0.3">
      <c r="A66" s="1">
        <v>65</v>
      </c>
      <c r="B66" s="1" t="s">
        <v>40</v>
      </c>
      <c r="C66" s="5">
        <v>4964.17</v>
      </c>
      <c r="D66" s="3">
        <v>133</v>
      </c>
      <c r="E66" s="1">
        <v>5</v>
      </c>
      <c r="F66" s="1">
        <v>1981</v>
      </c>
      <c r="G66" s="1" t="s">
        <v>29</v>
      </c>
      <c r="H66" s="1" t="b">
        <v>1</v>
      </c>
      <c r="I66" s="6" t="s">
        <v>86</v>
      </c>
      <c r="J66" s="1">
        <v>327</v>
      </c>
      <c r="K66" s="1" t="b">
        <v>1</v>
      </c>
      <c r="L66" s="1" t="s">
        <v>54</v>
      </c>
      <c r="M66" s="7">
        <v>44055</v>
      </c>
      <c r="N66" s="1">
        <v>660234</v>
      </c>
    </row>
    <row r="67" spans="1:14" ht="14.4" x14ac:dyDescent="0.3">
      <c r="A67" s="1">
        <v>66</v>
      </c>
      <c r="B67" s="1" t="s">
        <v>40</v>
      </c>
      <c r="C67" s="5">
        <v>5257.55</v>
      </c>
      <c r="D67" s="3">
        <v>148</v>
      </c>
      <c r="E67" s="1">
        <v>5</v>
      </c>
      <c r="F67" s="1">
        <v>2013</v>
      </c>
      <c r="G67" s="1" t="s">
        <v>18</v>
      </c>
      <c r="H67" s="1" t="b">
        <v>0</v>
      </c>
      <c r="I67" s="6" t="s">
        <v>87</v>
      </c>
      <c r="J67" s="1">
        <v>1766</v>
      </c>
      <c r="K67" s="1" t="b">
        <v>0</v>
      </c>
      <c r="L67" s="1" t="s">
        <v>54</v>
      </c>
      <c r="M67" s="7">
        <v>45166</v>
      </c>
      <c r="N67" s="1">
        <v>778117</v>
      </c>
    </row>
    <row r="68" spans="1:14" ht="14.4" x14ac:dyDescent="0.3">
      <c r="A68" s="1">
        <v>67</v>
      </c>
      <c r="B68" s="1" t="s">
        <v>40</v>
      </c>
      <c r="C68" s="5">
        <v>5751.93</v>
      </c>
      <c r="D68" s="3">
        <v>56</v>
      </c>
      <c r="E68" s="1">
        <v>1</v>
      </c>
      <c r="F68" s="1">
        <v>1979</v>
      </c>
      <c r="G68" s="1" t="s">
        <v>29</v>
      </c>
      <c r="H68" s="1" t="b">
        <v>1</v>
      </c>
      <c r="I68" s="6" t="s">
        <v>88</v>
      </c>
      <c r="J68" s="1">
        <v>815</v>
      </c>
      <c r="K68" s="1" t="b">
        <v>0</v>
      </c>
      <c r="L68" s="1" t="s">
        <v>54</v>
      </c>
      <c r="M68" s="7">
        <v>43155</v>
      </c>
      <c r="N68" s="1">
        <v>322108</v>
      </c>
    </row>
    <row r="69" spans="1:14" ht="14.4" x14ac:dyDescent="0.3">
      <c r="A69" s="1">
        <v>68</v>
      </c>
      <c r="B69" s="1" t="s">
        <v>40</v>
      </c>
      <c r="C69" s="5">
        <v>3449.34</v>
      </c>
      <c r="D69" s="3">
        <v>77</v>
      </c>
      <c r="E69" s="1">
        <v>1</v>
      </c>
      <c r="F69" s="1">
        <v>2020</v>
      </c>
      <c r="G69" s="1" t="s">
        <v>21</v>
      </c>
      <c r="H69" s="1" t="b">
        <v>0</v>
      </c>
      <c r="I69" s="6" t="s">
        <v>89</v>
      </c>
      <c r="J69" s="1">
        <v>542</v>
      </c>
      <c r="K69" s="1" t="b">
        <v>0</v>
      </c>
      <c r="L69" s="1" t="s">
        <v>54</v>
      </c>
      <c r="M69" s="7">
        <v>44959</v>
      </c>
      <c r="N69" s="1">
        <v>265599</v>
      </c>
    </row>
    <row r="70" spans="1:14" ht="14.4" x14ac:dyDescent="0.3">
      <c r="A70" s="1">
        <v>69</v>
      </c>
      <c r="B70" s="1" t="s">
        <v>40</v>
      </c>
      <c r="C70" s="5">
        <v>5099.6499999999996</v>
      </c>
      <c r="D70" s="3">
        <v>48</v>
      </c>
      <c r="E70" s="1">
        <v>2</v>
      </c>
      <c r="F70" s="1">
        <v>1977</v>
      </c>
      <c r="G70" s="1" t="s">
        <v>29</v>
      </c>
      <c r="H70" s="1" t="b">
        <v>1</v>
      </c>
      <c r="I70" s="6" t="s">
        <v>90</v>
      </c>
      <c r="J70" s="1">
        <v>842</v>
      </c>
      <c r="K70" s="1" t="b">
        <v>0</v>
      </c>
      <c r="L70" s="1" t="s">
        <v>54</v>
      </c>
      <c r="M70" s="7">
        <v>45108</v>
      </c>
      <c r="N70" s="1">
        <v>243290</v>
      </c>
    </row>
    <row r="71" spans="1:14" ht="14.4" x14ac:dyDescent="0.3">
      <c r="A71" s="1">
        <v>70</v>
      </c>
      <c r="B71" s="1" t="s">
        <v>14</v>
      </c>
      <c r="C71" s="5">
        <v>4814.34</v>
      </c>
      <c r="D71" s="3">
        <v>53</v>
      </c>
      <c r="E71" s="1">
        <v>3</v>
      </c>
      <c r="F71" s="1">
        <v>1983</v>
      </c>
      <c r="G71" s="1" t="s">
        <v>18</v>
      </c>
      <c r="H71" s="1" t="b">
        <v>0</v>
      </c>
      <c r="I71" s="6" t="s">
        <v>91</v>
      </c>
      <c r="J71" s="1">
        <v>1049</v>
      </c>
      <c r="K71" s="1" t="b">
        <v>1</v>
      </c>
      <c r="L71" s="1" t="s">
        <v>34</v>
      </c>
      <c r="M71" s="7">
        <v>43302</v>
      </c>
      <c r="N71" s="1">
        <v>255160</v>
      </c>
    </row>
    <row r="72" spans="1:14" ht="14.4" x14ac:dyDescent="0.3">
      <c r="A72" s="1">
        <v>71</v>
      </c>
      <c r="B72" s="1" t="s">
        <v>14</v>
      </c>
      <c r="C72" s="5">
        <v>4197.72</v>
      </c>
      <c r="D72" s="3">
        <v>77</v>
      </c>
      <c r="E72" s="1">
        <v>1</v>
      </c>
      <c r="F72" s="1">
        <v>1970</v>
      </c>
      <c r="G72" s="1" t="s">
        <v>15</v>
      </c>
      <c r="H72" s="1" t="b">
        <v>1</v>
      </c>
      <c r="I72" s="6" t="s">
        <v>92</v>
      </c>
      <c r="J72" s="1">
        <v>912</v>
      </c>
      <c r="K72" s="1" t="b">
        <v>1</v>
      </c>
      <c r="L72" s="1" t="s">
        <v>34</v>
      </c>
      <c r="M72" s="7">
        <v>43823</v>
      </c>
      <c r="N72" s="1">
        <v>323224</v>
      </c>
    </row>
    <row r="73" spans="1:14" ht="14.4" x14ac:dyDescent="0.3">
      <c r="A73" s="1">
        <v>72</v>
      </c>
      <c r="B73" s="1" t="s">
        <v>14</v>
      </c>
      <c r="C73" s="5">
        <v>5060.2299999999996</v>
      </c>
      <c r="D73" s="3">
        <v>67</v>
      </c>
      <c r="E73" s="1">
        <v>3</v>
      </c>
      <c r="F73" s="1">
        <v>1972</v>
      </c>
      <c r="G73" s="1" t="s">
        <v>18</v>
      </c>
      <c r="H73" s="1" t="b">
        <v>1</v>
      </c>
      <c r="I73" s="6" t="s">
        <v>93</v>
      </c>
      <c r="J73" s="1">
        <v>1612</v>
      </c>
      <c r="K73" s="1" t="b">
        <v>0</v>
      </c>
      <c r="L73" s="1" t="s">
        <v>34</v>
      </c>
      <c r="M73" s="7">
        <v>44088</v>
      </c>
      <c r="N73" s="1">
        <v>339035</v>
      </c>
    </row>
    <row r="74" spans="1:14" ht="14.4" x14ac:dyDescent="0.3">
      <c r="A74" s="1">
        <v>73</v>
      </c>
      <c r="B74" s="1" t="s">
        <v>14</v>
      </c>
      <c r="C74" s="5">
        <v>4807.6400000000003</v>
      </c>
      <c r="D74" s="3">
        <v>138</v>
      </c>
      <c r="E74" s="1">
        <v>5</v>
      </c>
      <c r="F74" s="1">
        <v>1986</v>
      </c>
      <c r="G74" s="1" t="s">
        <v>18</v>
      </c>
      <c r="H74" s="1" t="b">
        <v>0</v>
      </c>
      <c r="I74" s="6" t="s">
        <v>94</v>
      </c>
      <c r="J74" s="1">
        <v>961</v>
      </c>
      <c r="K74" s="1" t="b">
        <v>1</v>
      </c>
      <c r="L74" s="1" t="s">
        <v>34</v>
      </c>
      <c r="M74" s="7">
        <v>45262</v>
      </c>
      <c r="N74" s="1">
        <v>663454</v>
      </c>
    </row>
    <row r="75" spans="1:14" ht="14.4" x14ac:dyDescent="0.3">
      <c r="A75" s="1">
        <v>74</v>
      </c>
      <c r="B75" s="1" t="s">
        <v>14</v>
      </c>
      <c r="C75" s="5">
        <v>4433.7</v>
      </c>
      <c r="D75" s="3">
        <v>126</v>
      </c>
      <c r="E75" s="1">
        <v>1</v>
      </c>
      <c r="F75" s="1">
        <v>2010</v>
      </c>
      <c r="G75" s="1" t="s">
        <v>18</v>
      </c>
      <c r="H75" s="1" t="b">
        <v>1</v>
      </c>
      <c r="I75" s="6" t="s">
        <v>95</v>
      </c>
      <c r="J75" s="1">
        <v>1460</v>
      </c>
      <c r="K75" s="1" t="b">
        <v>1</v>
      </c>
      <c r="L75" s="1" t="s">
        <v>34</v>
      </c>
      <c r="M75" s="7">
        <v>44302</v>
      </c>
      <c r="N75" s="1">
        <v>558646</v>
      </c>
    </row>
    <row r="76" spans="1:14" ht="14.4" x14ac:dyDescent="0.3">
      <c r="A76" s="1">
        <v>75</v>
      </c>
      <c r="B76" s="1" t="s">
        <v>14</v>
      </c>
      <c r="C76" s="5">
        <v>3769.14</v>
      </c>
      <c r="D76" s="3">
        <v>59</v>
      </c>
      <c r="E76" s="1">
        <v>5</v>
      </c>
      <c r="F76" s="1">
        <v>1972</v>
      </c>
      <c r="G76" s="1" t="s">
        <v>21</v>
      </c>
      <c r="H76" s="1" t="b">
        <v>1</v>
      </c>
      <c r="I76" s="6" t="s">
        <v>96</v>
      </c>
      <c r="J76" s="1">
        <v>767</v>
      </c>
      <c r="K76" s="1" t="b">
        <v>1</v>
      </c>
      <c r="L76" s="1" t="s">
        <v>34</v>
      </c>
      <c r="M76" s="7">
        <v>43552</v>
      </c>
      <c r="N76" s="1">
        <v>222379</v>
      </c>
    </row>
    <row r="77" spans="1:14" ht="14.4" x14ac:dyDescent="0.3">
      <c r="A77" s="1">
        <v>76</v>
      </c>
      <c r="B77" s="1" t="s">
        <v>26</v>
      </c>
      <c r="C77" s="5">
        <v>6356.24</v>
      </c>
      <c r="D77" s="3">
        <v>53</v>
      </c>
      <c r="E77" s="1">
        <v>2</v>
      </c>
      <c r="F77" s="1">
        <v>2007</v>
      </c>
      <c r="G77" s="1" t="s">
        <v>29</v>
      </c>
      <c r="H77" s="1" t="b">
        <v>1</v>
      </c>
      <c r="I77" s="6" t="s">
        <v>97</v>
      </c>
      <c r="J77" s="1">
        <v>1829</v>
      </c>
      <c r="K77" s="1" t="b">
        <v>0</v>
      </c>
      <c r="L77" s="1" t="s">
        <v>34</v>
      </c>
      <c r="M77" s="7">
        <v>43637</v>
      </c>
      <c r="N77" s="1">
        <v>336880</v>
      </c>
    </row>
    <row r="78" spans="1:14" ht="14.4" x14ac:dyDescent="0.3">
      <c r="A78" s="1">
        <v>77</v>
      </c>
      <c r="B78" s="1" t="s">
        <v>26</v>
      </c>
      <c r="C78" s="5">
        <v>4927.99</v>
      </c>
      <c r="D78" s="3">
        <v>145</v>
      </c>
      <c r="E78" s="1">
        <v>2</v>
      </c>
      <c r="F78" s="1">
        <v>1950</v>
      </c>
      <c r="G78" s="1" t="s">
        <v>18</v>
      </c>
      <c r="H78" s="1" t="b">
        <v>0</v>
      </c>
      <c r="I78" s="6" t="s">
        <v>98</v>
      </c>
      <c r="J78" s="1">
        <v>1105</v>
      </c>
      <c r="K78" s="1" t="b">
        <v>1</v>
      </c>
      <c r="L78" s="1" t="s">
        <v>34</v>
      </c>
      <c r="M78" s="7">
        <v>44726</v>
      </c>
      <c r="N78" s="1">
        <v>714558</v>
      </c>
    </row>
    <row r="79" spans="1:14" ht="14.4" x14ac:dyDescent="0.3">
      <c r="A79" s="1">
        <v>78</v>
      </c>
      <c r="B79" s="1" t="s">
        <v>26</v>
      </c>
      <c r="C79" s="5">
        <v>6003.53</v>
      </c>
      <c r="D79" s="3">
        <v>104</v>
      </c>
      <c r="E79" s="1">
        <v>2</v>
      </c>
      <c r="F79" s="1">
        <v>2018</v>
      </c>
      <c r="G79" s="1" t="s">
        <v>15</v>
      </c>
      <c r="H79" s="1" t="b">
        <v>0</v>
      </c>
      <c r="I79" s="6" t="s">
        <v>99</v>
      </c>
      <c r="J79" s="1">
        <v>1038</v>
      </c>
      <c r="K79" s="1" t="b">
        <v>0</v>
      </c>
      <c r="L79" s="1" t="s">
        <v>34</v>
      </c>
      <c r="M79" s="7">
        <v>45223</v>
      </c>
      <c r="N79" s="1">
        <v>624367</v>
      </c>
    </row>
    <row r="80" spans="1:14" ht="14.4" x14ac:dyDescent="0.3">
      <c r="A80" s="1">
        <v>79</v>
      </c>
      <c r="B80" s="1" t="s">
        <v>26</v>
      </c>
      <c r="C80" s="5">
        <v>6564.64</v>
      </c>
      <c r="D80" s="3">
        <v>113</v>
      </c>
      <c r="E80" s="1">
        <v>2</v>
      </c>
      <c r="F80" s="1">
        <v>1973</v>
      </c>
      <c r="G80" s="1" t="s">
        <v>18</v>
      </c>
      <c r="H80" s="1" t="b">
        <v>0</v>
      </c>
      <c r="I80" s="6" t="s">
        <v>100</v>
      </c>
      <c r="J80" s="1">
        <v>1013</v>
      </c>
      <c r="K80" s="1" t="b">
        <v>1</v>
      </c>
      <c r="L80" s="1" t="s">
        <v>34</v>
      </c>
      <c r="M80" s="7">
        <v>43976</v>
      </c>
      <c r="N80" s="1">
        <v>741804</v>
      </c>
    </row>
    <row r="81" spans="1:14" ht="14.4" x14ac:dyDescent="0.3">
      <c r="A81" s="1">
        <v>80</v>
      </c>
      <c r="B81" s="1" t="s">
        <v>26</v>
      </c>
      <c r="C81" s="5">
        <v>4973.49</v>
      </c>
      <c r="D81" s="3">
        <v>51</v>
      </c>
      <c r="E81" s="1">
        <v>4</v>
      </c>
      <c r="F81" s="1">
        <v>1998</v>
      </c>
      <c r="G81" s="1" t="s">
        <v>15</v>
      </c>
      <c r="H81" s="1" t="b">
        <v>1</v>
      </c>
      <c r="I81" s="6" t="s">
        <v>101</v>
      </c>
      <c r="J81" s="1">
        <v>614</v>
      </c>
      <c r="K81" s="1" t="b">
        <v>0</v>
      </c>
      <c r="L81" s="1" t="s">
        <v>34</v>
      </c>
      <c r="M81" s="7">
        <v>43869</v>
      </c>
      <c r="N81" s="1">
        <v>251203</v>
      </c>
    </row>
    <row r="82" spans="1:14" ht="14.4" x14ac:dyDescent="0.3">
      <c r="A82" s="1">
        <v>81</v>
      </c>
      <c r="B82" s="1" t="s">
        <v>26</v>
      </c>
      <c r="C82" s="5">
        <v>5301.55</v>
      </c>
      <c r="D82" s="3">
        <v>80</v>
      </c>
      <c r="E82" s="1">
        <v>2</v>
      </c>
      <c r="F82" s="1">
        <v>1961</v>
      </c>
      <c r="G82" s="1" t="s">
        <v>18</v>
      </c>
      <c r="H82" s="1" t="b">
        <v>0</v>
      </c>
      <c r="I82" s="6" t="s">
        <v>102</v>
      </c>
      <c r="J82" s="1">
        <v>576</v>
      </c>
      <c r="K82" s="1" t="b">
        <v>1</v>
      </c>
      <c r="L82" s="1" t="s">
        <v>34</v>
      </c>
      <c r="M82" s="7">
        <v>44802</v>
      </c>
      <c r="N82" s="1">
        <v>424124</v>
      </c>
    </row>
    <row r="83" spans="1:14" ht="14.4" x14ac:dyDescent="0.3">
      <c r="A83" s="1">
        <v>82</v>
      </c>
      <c r="B83" s="1" t="s">
        <v>38</v>
      </c>
      <c r="C83" s="5">
        <v>4698.8999999999996</v>
      </c>
      <c r="D83" s="3">
        <v>89</v>
      </c>
      <c r="E83" s="1">
        <v>4</v>
      </c>
      <c r="F83" s="1">
        <v>1971</v>
      </c>
      <c r="G83" s="1" t="s">
        <v>29</v>
      </c>
      <c r="H83" s="1" t="b">
        <v>1</v>
      </c>
      <c r="I83" s="6" t="s">
        <v>103</v>
      </c>
      <c r="J83" s="1">
        <v>355</v>
      </c>
      <c r="K83" s="1" t="b">
        <v>1</v>
      </c>
      <c r="L83" s="1" t="s">
        <v>34</v>
      </c>
      <c r="M83" s="7">
        <v>43456</v>
      </c>
      <c r="N83" s="1">
        <v>418202</v>
      </c>
    </row>
    <row r="84" spans="1:14" ht="14.4" x14ac:dyDescent="0.3">
      <c r="A84" s="1">
        <v>83</v>
      </c>
      <c r="B84" s="1" t="s">
        <v>38</v>
      </c>
      <c r="C84" s="5">
        <v>3521.48</v>
      </c>
      <c r="D84" s="3">
        <v>142</v>
      </c>
      <c r="E84" s="1">
        <v>1</v>
      </c>
      <c r="F84" s="1">
        <v>2016</v>
      </c>
      <c r="G84" s="1" t="s">
        <v>29</v>
      </c>
      <c r="H84" s="1" t="b">
        <v>1</v>
      </c>
      <c r="I84" s="6" t="s">
        <v>104</v>
      </c>
      <c r="J84" s="1">
        <v>1025</v>
      </c>
      <c r="K84" s="1" t="b">
        <v>0</v>
      </c>
      <c r="L84" s="1" t="s">
        <v>34</v>
      </c>
      <c r="M84" s="7">
        <v>44448</v>
      </c>
      <c r="N84" s="1">
        <v>500050</v>
      </c>
    </row>
    <row r="85" spans="1:14" ht="14.4" x14ac:dyDescent="0.3">
      <c r="A85" s="1">
        <v>84</v>
      </c>
      <c r="B85" s="1" t="s">
        <v>38</v>
      </c>
      <c r="C85" s="5">
        <v>4614.92</v>
      </c>
      <c r="D85" s="3">
        <v>61</v>
      </c>
      <c r="E85" s="1">
        <v>1</v>
      </c>
      <c r="F85" s="1">
        <v>1996</v>
      </c>
      <c r="G85" s="1" t="s">
        <v>29</v>
      </c>
      <c r="H85" s="1" t="b">
        <v>1</v>
      </c>
      <c r="I85" s="6" t="s">
        <v>105</v>
      </c>
      <c r="J85" s="1">
        <v>664</v>
      </c>
      <c r="K85" s="1" t="b">
        <v>0</v>
      </c>
      <c r="L85" s="1" t="s">
        <v>34</v>
      </c>
      <c r="M85" s="7">
        <v>44531</v>
      </c>
      <c r="N85" s="1">
        <v>281510</v>
      </c>
    </row>
    <row r="86" spans="1:14" ht="14.4" x14ac:dyDescent="0.3">
      <c r="A86" s="1">
        <v>85</v>
      </c>
      <c r="B86" s="1" t="s">
        <v>38</v>
      </c>
      <c r="C86" s="5">
        <v>4323.08</v>
      </c>
      <c r="D86" s="3">
        <v>148</v>
      </c>
      <c r="E86" s="1">
        <v>4</v>
      </c>
      <c r="F86" s="1">
        <v>2011</v>
      </c>
      <c r="G86" s="1" t="s">
        <v>15</v>
      </c>
      <c r="H86" s="1" t="b">
        <v>0</v>
      </c>
      <c r="I86" s="6" t="s">
        <v>106</v>
      </c>
      <c r="J86" s="1">
        <v>965</v>
      </c>
      <c r="K86" s="1" t="b">
        <v>1</v>
      </c>
      <c r="L86" s="1" t="s">
        <v>34</v>
      </c>
      <c r="M86" s="7">
        <v>44893</v>
      </c>
      <c r="N86" s="1">
        <v>639815</v>
      </c>
    </row>
    <row r="87" spans="1:14" ht="14.4" x14ac:dyDescent="0.3">
      <c r="A87" s="1">
        <v>86</v>
      </c>
      <c r="B87" s="1" t="s">
        <v>38</v>
      </c>
      <c r="C87" s="5">
        <v>5975.55</v>
      </c>
      <c r="D87" s="3">
        <v>32</v>
      </c>
      <c r="E87" s="1">
        <v>2</v>
      </c>
      <c r="F87" s="1">
        <v>1959</v>
      </c>
      <c r="G87" s="1" t="s">
        <v>21</v>
      </c>
      <c r="H87" s="1" t="b">
        <v>1</v>
      </c>
      <c r="I87" s="6" t="s">
        <v>107</v>
      </c>
      <c r="J87" s="1">
        <v>1946</v>
      </c>
      <c r="K87" s="1" t="b">
        <v>1</v>
      </c>
      <c r="L87" s="1" t="s">
        <v>34</v>
      </c>
      <c r="M87" s="7">
        <v>45035</v>
      </c>
      <c r="N87" s="1">
        <v>191217</v>
      </c>
    </row>
    <row r="88" spans="1:14" ht="14.4" x14ac:dyDescent="0.3">
      <c r="A88" s="1">
        <v>87</v>
      </c>
      <c r="B88" s="1" t="s">
        <v>38</v>
      </c>
      <c r="C88" s="5">
        <v>5097.08</v>
      </c>
      <c r="D88" s="3">
        <v>62</v>
      </c>
      <c r="E88" s="1">
        <v>2</v>
      </c>
      <c r="F88" s="1">
        <v>1962</v>
      </c>
      <c r="G88" s="1" t="s">
        <v>15</v>
      </c>
      <c r="H88" s="1" t="b">
        <v>0</v>
      </c>
      <c r="I88" s="6" t="s">
        <v>108</v>
      </c>
      <c r="J88" s="1">
        <v>408</v>
      </c>
      <c r="K88" s="1" t="b">
        <v>0</v>
      </c>
      <c r="L88" s="1" t="s">
        <v>34</v>
      </c>
      <c r="M88" s="7">
        <v>43949</v>
      </c>
      <c r="N88" s="1">
        <v>316018</v>
      </c>
    </row>
    <row r="89" spans="1:14" ht="14.4" x14ac:dyDescent="0.3">
      <c r="A89" s="1">
        <v>88</v>
      </c>
      <c r="B89" s="1" t="s">
        <v>38</v>
      </c>
      <c r="C89" s="5">
        <v>4297.95</v>
      </c>
      <c r="D89" s="3">
        <v>62</v>
      </c>
      <c r="E89" s="1">
        <v>1</v>
      </c>
      <c r="F89" s="1">
        <v>1995</v>
      </c>
      <c r="G89" s="1" t="s">
        <v>29</v>
      </c>
      <c r="H89" s="1" t="b">
        <v>0</v>
      </c>
      <c r="I89" s="6" t="s">
        <v>109</v>
      </c>
      <c r="J89" s="1">
        <v>410</v>
      </c>
      <c r="K89" s="1" t="b">
        <v>1</v>
      </c>
      <c r="L89" s="1" t="s">
        <v>34</v>
      </c>
      <c r="M89" s="7">
        <v>43789</v>
      </c>
      <c r="N89" s="1">
        <v>266472</v>
      </c>
    </row>
    <row r="90" spans="1:14" ht="14.4" x14ac:dyDescent="0.3">
      <c r="A90" s="1">
        <v>89</v>
      </c>
      <c r="B90" s="1" t="s">
        <v>38</v>
      </c>
      <c r="C90" s="5">
        <v>4607.8900000000003</v>
      </c>
      <c r="D90" s="3">
        <v>50</v>
      </c>
      <c r="E90" s="1">
        <v>5</v>
      </c>
      <c r="F90" s="1">
        <v>1984</v>
      </c>
      <c r="G90" s="1" t="s">
        <v>21</v>
      </c>
      <c r="H90" s="1" t="b">
        <v>1</v>
      </c>
      <c r="I90" s="6" t="s">
        <v>32</v>
      </c>
      <c r="J90" s="1">
        <v>410</v>
      </c>
      <c r="K90" s="1" t="b">
        <v>0</v>
      </c>
      <c r="L90" s="1" t="s">
        <v>34</v>
      </c>
      <c r="M90" s="7">
        <v>43442</v>
      </c>
      <c r="N90" s="1">
        <v>230394</v>
      </c>
    </row>
    <row r="91" spans="1:14" ht="14.4" x14ac:dyDescent="0.3">
      <c r="A91" s="1">
        <v>90</v>
      </c>
      <c r="B91" s="1" t="s">
        <v>38</v>
      </c>
      <c r="C91" s="5">
        <v>5005.1099999999997</v>
      </c>
      <c r="D91" s="3">
        <v>37</v>
      </c>
      <c r="E91" s="1">
        <v>4</v>
      </c>
      <c r="F91" s="1">
        <v>1956</v>
      </c>
      <c r="G91" s="1" t="s">
        <v>15</v>
      </c>
      <c r="H91" s="1" t="b">
        <v>1</v>
      </c>
      <c r="I91" s="6" t="s">
        <v>110</v>
      </c>
      <c r="J91" s="1">
        <v>1692</v>
      </c>
      <c r="K91" s="1" t="b">
        <v>0</v>
      </c>
      <c r="L91" s="1" t="s">
        <v>34</v>
      </c>
      <c r="M91" s="7">
        <v>43427</v>
      </c>
      <c r="N91" s="1">
        <v>185189</v>
      </c>
    </row>
    <row r="92" spans="1:14" ht="14.4" x14ac:dyDescent="0.3">
      <c r="A92" s="1">
        <v>91</v>
      </c>
      <c r="B92" s="1" t="s">
        <v>38</v>
      </c>
      <c r="C92" s="5">
        <v>6142.82</v>
      </c>
      <c r="D92" s="3">
        <v>56</v>
      </c>
      <c r="E92" s="1">
        <v>3</v>
      </c>
      <c r="F92" s="1">
        <v>1972</v>
      </c>
      <c r="G92" s="1" t="s">
        <v>21</v>
      </c>
      <c r="H92" s="1" t="b">
        <v>1</v>
      </c>
      <c r="I92" s="6" t="s">
        <v>111</v>
      </c>
      <c r="J92" s="1">
        <v>923</v>
      </c>
      <c r="K92" s="1" t="b">
        <v>0</v>
      </c>
      <c r="L92" s="1" t="s">
        <v>34</v>
      </c>
      <c r="M92" s="7">
        <v>45021</v>
      </c>
      <c r="N92" s="1">
        <v>343997</v>
      </c>
    </row>
    <row r="93" spans="1:14" ht="14.4" x14ac:dyDescent="0.3">
      <c r="A93" s="1">
        <v>92</v>
      </c>
      <c r="B93" s="1" t="s">
        <v>40</v>
      </c>
      <c r="C93" s="5">
        <v>4280.16</v>
      </c>
      <c r="D93" s="3">
        <v>31</v>
      </c>
      <c r="E93" s="1">
        <v>5</v>
      </c>
      <c r="F93" s="1">
        <v>1975</v>
      </c>
      <c r="G93" s="1" t="s">
        <v>18</v>
      </c>
      <c r="H93" s="1" t="b">
        <v>1</v>
      </c>
      <c r="I93" s="6" t="s">
        <v>112</v>
      </c>
      <c r="J93" s="1">
        <v>825</v>
      </c>
      <c r="K93" s="1" t="b">
        <v>0</v>
      </c>
      <c r="L93" s="1" t="s">
        <v>34</v>
      </c>
      <c r="M93" s="7">
        <v>44964</v>
      </c>
      <c r="N93" s="1">
        <v>132684</v>
      </c>
    </row>
    <row r="94" spans="1:14" ht="14.4" x14ac:dyDescent="0.3">
      <c r="A94" s="1">
        <v>93</v>
      </c>
      <c r="B94" s="1" t="s">
        <v>40</v>
      </c>
      <c r="C94" s="5">
        <v>6031</v>
      </c>
      <c r="D94" s="3">
        <v>134</v>
      </c>
      <c r="E94" s="1">
        <v>5</v>
      </c>
      <c r="F94" s="1">
        <v>1965</v>
      </c>
      <c r="G94" s="1" t="s">
        <v>29</v>
      </c>
      <c r="H94" s="1" t="b">
        <v>1</v>
      </c>
      <c r="I94" s="6" t="s">
        <v>30</v>
      </c>
      <c r="J94" s="1">
        <v>998</v>
      </c>
      <c r="K94" s="1" t="b">
        <v>1</v>
      </c>
      <c r="L94" s="1" t="s">
        <v>34</v>
      </c>
      <c r="M94" s="7">
        <v>44746</v>
      </c>
      <c r="N94" s="1">
        <v>808154</v>
      </c>
    </row>
    <row r="95" spans="1:14" ht="14.4" x14ac:dyDescent="0.3">
      <c r="A95" s="1">
        <v>94</v>
      </c>
      <c r="B95" s="1" t="s">
        <v>40</v>
      </c>
      <c r="C95" s="5">
        <v>5361.64</v>
      </c>
      <c r="D95" s="3">
        <v>142</v>
      </c>
      <c r="E95" s="1">
        <v>1</v>
      </c>
      <c r="F95" s="1">
        <v>1953</v>
      </c>
      <c r="G95" s="1" t="s">
        <v>18</v>
      </c>
      <c r="H95" s="1" t="b">
        <v>1</v>
      </c>
      <c r="I95" s="6" t="s">
        <v>113</v>
      </c>
      <c r="J95" s="1">
        <v>1338</v>
      </c>
      <c r="K95" s="1" t="b">
        <v>1</v>
      </c>
      <c r="L95" s="1" t="s">
        <v>34</v>
      </c>
      <c r="M95" s="7">
        <v>43486</v>
      </c>
      <c r="N95" s="1">
        <v>761352</v>
      </c>
    </row>
    <row r="96" spans="1:14" ht="14.4" x14ac:dyDescent="0.3">
      <c r="A96" s="1">
        <v>95</v>
      </c>
      <c r="B96" s="1" t="s">
        <v>40</v>
      </c>
      <c r="C96" s="5">
        <v>4498.24</v>
      </c>
      <c r="D96" s="3">
        <v>64</v>
      </c>
      <c r="E96" s="1">
        <v>1</v>
      </c>
      <c r="F96" s="1">
        <v>1982</v>
      </c>
      <c r="G96" s="1" t="s">
        <v>29</v>
      </c>
      <c r="H96" s="1" t="b">
        <v>0</v>
      </c>
      <c r="I96" s="6" t="s">
        <v>114</v>
      </c>
      <c r="J96" s="1">
        <v>324</v>
      </c>
      <c r="K96" s="1" t="b">
        <v>1</v>
      </c>
      <c r="L96" s="1" t="s">
        <v>34</v>
      </c>
      <c r="M96" s="7">
        <v>43163</v>
      </c>
      <c r="N96" s="1">
        <v>287887</v>
      </c>
    </row>
    <row r="97" spans="1:14" ht="14.4" x14ac:dyDescent="0.3">
      <c r="A97" s="1">
        <v>96</v>
      </c>
      <c r="B97" s="1" t="s">
        <v>40</v>
      </c>
      <c r="C97" s="5">
        <v>5915.4</v>
      </c>
      <c r="D97" s="3">
        <v>109</v>
      </c>
      <c r="E97" s="1">
        <v>4</v>
      </c>
      <c r="F97" s="1">
        <v>1989</v>
      </c>
      <c r="G97" s="1" t="s">
        <v>18</v>
      </c>
      <c r="H97" s="1" t="b">
        <v>0</v>
      </c>
      <c r="I97" s="6" t="s">
        <v>115</v>
      </c>
      <c r="J97" s="1">
        <v>1903</v>
      </c>
      <c r="K97" s="1" t="b">
        <v>1</v>
      </c>
      <c r="L97" s="1" t="s">
        <v>34</v>
      </c>
      <c r="M97" s="7">
        <v>44103</v>
      </c>
      <c r="N97" s="1">
        <v>644778</v>
      </c>
    </row>
    <row r="98" spans="1:14" ht="14.4" x14ac:dyDescent="0.3">
      <c r="A98" s="1">
        <v>97</v>
      </c>
      <c r="B98" s="1" t="s">
        <v>40</v>
      </c>
      <c r="C98" s="5">
        <v>4672.34</v>
      </c>
      <c r="D98" s="3">
        <v>43</v>
      </c>
      <c r="E98" s="1">
        <v>2</v>
      </c>
      <c r="F98" s="1">
        <v>1951</v>
      </c>
      <c r="G98" s="1" t="s">
        <v>21</v>
      </c>
      <c r="H98" s="1" t="b">
        <v>0</v>
      </c>
      <c r="I98" s="6" t="s">
        <v>116</v>
      </c>
      <c r="J98" s="1">
        <v>527</v>
      </c>
      <c r="K98" s="1" t="b">
        <v>0</v>
      </c>
      <c r="L98" s="1" t="s">
        <v>34</v>
      </c>
      <c r="M98" s="7">
        <v>43248</v>
      </c>
      <c r="N98" s="1">
        <v>200910</v>
      </c>
    </row>
    <row r="99" spans="1:14" ht="14.4" x14ac:dyDescent="0.3">
      <c r="A99" s="1">
        <v>98</v>
      </c>
      <c r="B99" s="1" t="s">
        <v>40</v>
      </c>
      <c r="C99" s="5">
        <v>3536.49</v>
      </c>
      <c r="D99" s="3">
        <v>77</v>
      </c>
      <c r="E99" s="1">
        <v>2</v>
      </c>
      <c r="F99" s="1">
        <v>1957</v>
      </c>
      <c r="G99" s="1" t="s">
        <v>18</v>
      </c>
      <c r="H99" s="1" t="b">
        <v>1</v>
      </c>
      <c r="I99" s="6" t="s">
        <v>117</v>
      </c>
      <c r="J99" s="1">
        <v>1793</v>
      </c>
      <c r="K99" s="1" t="b">
        <v>0</v>
      </c>
      <c r="L99" s="1" t="s">
        <v>34</v>
      </c>
      <c r="M99" s="7">
        <v>44187</v>
      </c>
      <c r="N99" s="1">
        <v>272309</v>
      </c>
    </row>
    <row r="100" spans="1:14" ht="14.4" x14ac:dyDescent="0.3">
      <c r="A100" s="1">
        <v>99</v>
      </c>
      <c r="B100" s="1" t="s">
        <v>40</v>
      </c>
      <c r="C100" s="5">
        <v>6886.19</v>
      </c>
      <c r="D100" s="3">
        <v>144</v>
      </c>
      <c r="E100" s="1">
        <v>4</v>
      </c>
      <c r="F100" s="1">
        <v>2022</v>
      </c>
      <c r="G100" s="1" t="s">
        <v>15</v>
      </c>
      <c r="H100" s="1" t="b">
        <v>1</v>
      </c>
      <c r="I100" s="6" t="s">
        <v>118</v>
      </c>
      <c r="J100" s="1">
        <v>1605</v>
      </c>
      <c r="K100" s="1" t="b">
        <v>1</v>
      </c>
      <c r="L100" s="1" t="s">
        <v>34</v>
      </c>
      <c r="M100" s="7">
        <v>44601</v>
      </c>
      <c r="N100" s="1">
        <v>991611</v>
      </c>
    </row>
    <row r="101" spans="1:14" ht="14.4" x14ac:dyDescent="0.3">
      <c r="A101" s="1">
        <v>100</v>
      </c>
      <c r="B101" s="1" t="s">
        <v>40</v>
      </c>
      <c r="C101" s="5">
        <v>4965.29</v>
      </c>
      <c r="D101" s="3">
        <v>83</v>
      </c>
      <c r="E101" s="1">
        <v>4</v>
      </c>
      <c r="F101" s="1">
        <v>2004</v>
      </c>
      <c r="G101" s="1" t="s">
        <v>21</v>
      </c>
      <c r="H101" s="1" t="b">
        <v>1</v>
      </c>
      <c r="I101" s="6" t="s">
        <v>119</v>
      </c>
      <c r="J101" s="1">
        <v>1905</v>
      </c>
      <c r="K101" s="1" t="b">
        <v>0</v>
      </c>
      <c r="L101" s="1" t="s">
        <v>34</v>
      </c>
      <c r="M101" s="7">
        <v>44047</v>
      </c>
      <c r="N101" s="1">
        <v>412119</v>
      </c>
    </row>
    <row r="102" spans="1:14" ht="13.2" x14ac:dyDescent="0.25">
      <c r="C102" s="2"/>
      <c r="D102" s="3"/>
      <c r="I102" s="4"/>
    </row>
    <row r="103" spans="1:14" ht="13.2" x14ac:dyDescent="0.25">
      <c r="C103" s="2"/>
      <c r="D103" s="3"/>
      <c r="I103" s="4"/>
    </row>
    <row r="104" spans="1:14" ht="13.2" x14ac:dyDescent="0.25">
      <c r="C104" s="2"/>
      <c r="D104" s="3"/>
      <c r="I104" s="4"/>
    </row>
    <row r="105" spans="1:14" ht="13.2" x14ac:dyDescent="0.25">
      <c r="C105" s="2"/>
      <c r="D105" s="3"/>
      <c r="I105" s="4"/>
    </row>
    <row r="106" spans="1:14" ht="13.2" x14ac:dyDescent="0.25">
      <c r="C106" s="2"/>
      <c r="D106" s="3"/>
      <c r="I106" s="4"/>
    </row>
    <row r="107" spans="1:14" ht="13.2" x14ac:dyDescent="0.25">
      <c r="C107" s="2"/>
      <c r="D107" s="3"/>
      <c r="I107" s="4"/>
    </row>
    <row r="108" spans="1:14" ht="13.2" x14ac:dyDescent="0.25">
      <c r="C108" s="2"/>
      <c r="D108" s="3"/>
      <c r="I108" s="4"/>
    </row>
    <row r="109" spans="1:14" ht="13.2" x14ac:dyDescent="0.25">
      <c r="C109" s="2"/>
      <c r="D109" s="3"/>
      <c r="I109" s="4"/>
    </row>
    <row r="110" spans="1:14" ht="13.2" x14ac:dyDescent="0.25">
      <c r="C110" s="2"/>
      <c r="D110" s="3"/>
      <c r="I110" s="4"/>
    </row>
    <row r="111" spans="1:14" ht="13.2" x14ac:dyDescent="0.25">
      <c r="C111" s="2"/>
      <c r="D111" s="3"/>
      <c r="I111" s="4"/>
    </row>
    <row r="112" spans="1:14" ht="13.2" x14ac:dyDescent="0.25">
      <c r="C112" s="2"/>
      <c r="D112" s="3"/>
      <c r="I112" s="4"/>
    </row>
    <row r="113" spans="3:9" ht="13.2" x14ac:dyDescent="0.25">
      <c r="C113" s="2"/>
      <c r="D113" s="3"/>
      <c r="I113" s="4"/>
    </row>
    <row r="114" spans="3:9" ht="13.2" x14ac:dyDescent="0.25">
      <c r="C114" s="2"/>
      <c r="D114" s="3"/>
      <c r="I114" s="4"/>
    </row>
    <row r="115" spans="3:9" ht="13.2" x14ac:dyDescent="0.25">
      <c r="C115" s="2"/>
      <c r="D115" s="3"/>
      <c r="I115" s="4"/>
    </row>
    <row r="116" spans="3:9" ht="13.2" x14ac:dyDescent="0.25">
      <c r="C116" s="2"/>
      <c r="D116" s="3"/>
      <c r="I116" s="4"/>
    </row>
    <row r="117" spans="3:9" ht="13.2" x14ac:dyDescent="0.25">
      <c r="C117" s="2"/>
      <c r="D117" s="3"/>
      <c r="I117" s="4"/>
    </row>
    <row r="118" spans="3:9" ht="13.2" x14ac:dyDescent="0.25">
      <c r="C118" s="2"/>
      <c r="D118" s="3"/>
      <c r="I118" s="4"/>
    </row>
    <row r="119" spans="3:9" ht="13.2" x14ac:dyDescent="0.25">
      <c r="C119" s="2"/>
      <c r="D119" s="3"/>
      <c r="I119" s="4"/>
    </row>
    <row r="120" spans="3:9" ht="13.2" x14ac:dyDescent="0.25">
      <c r="C120" s="2"/>
      <c r="D120" s="3"/>
      <c r="I120" s="4"/>
    </row>
    <row r="121" spans="3:9" ht="13.2" x14ac:dyDescent="0.25">
      <c r="C121" s="2"/>
      <c r="D121" s="3"/>
      <c r="I121" s="4"/>
    </row>
    <row r="122" spans="3:9" ht="13.2" x14ac:dyDescent="0.25">
      <c r="C122" s="2"/>
      <c r="D122" s="3"/>
      <c r="I122" s="4"/>
    </row>
    <row r="123" spans="3:9" ht="13.2" x14ac:dyDescent="0.25">
      <c r="C123" s="2"/>
      <c r="D123" s="3"/>
      <c r="I123" s="4"/>
    </row>
    <row r="124" spans="3:9" ht="13.2" x14ac:dyDescent="0.25">
      <c r="C124" s="2"/>
      <c r="D124" s="3"/>
      <c r="I124" s="4"/>
    </row>
    <row r="125" spans="3:9" ht="13.2" x14ac:dyDescent="0.25">
      <c r="C125" s="2"/>
      <c r="D125" s="3"/>
      <c r="I125" s="4"/>
    </row>
    <row r="126" spans="3:9" ht="13.2" x14ac:dyDescent="0.25">
      <c r="C126" s="2"/>
      <c r="D126" s="3"/>
      <c r="I126" s="4"/>
    </row>
    <row r="127" spans="3:9" ht="13.2" x14ac:dyDescent="0.25">
      <c r="C127" s="2"/>
      <c r="D127" s="3"/>
      <c r="I127" s="4"/>
    </row>
    <row r="128" spans="3:9" ht="13.2" x14ac:dyDescent="0.25">
      <c r="C128" s="2"/>
      <c r="D128" s="3"/>
      <c r="I128" s="4"/>
    </row>
    <row r="129" spans="3:9" ht="13.2" x14ac:dyDescent="0.25">
      <c r="C129" s="2"/>
      <c r="D129" s="3"/>
      <c r="I129" s="4"/>
    </row>
    <row r="130" spans="3:9" ht="13.2" x14ac:dyDescent="0.25">
      <c r="C130" s="2"/>
      <c r="D130" s="3"/>
      <c r="I130" s="4"/>
    </row>
    <row r="131" spans="3:9" ht="13.2" x14ac:dyDescent="0.25">
      <c r="C131" s="2"/>
      <c r="D131" s="3"/>
      <c r="I131" s="4"/>
    </row>
    <row r="132" spans="3:9" ht="13.2" x14ac:dyDescent="0.25">
      <c r="C132" s="2"/>
      <c r="D132" s="3"/>
      <c r="I132" s="4"/>
    </row>
    <row r="133" spans="3:9" ht="13.2" x14ac:dyDescent="0.25">
      <c r="C133" s="2"/>
      <c r="D133" s="3"/>
      <c r="I133" s="4"/>
    </row>
    <row r="134" spans="3:9" ht="13.2" x14ac:dyDescent="0.25">
      <c r="C134" s="2"/>
      <c r="D134" s="3"/>
      <c r="I134" s="4"/>
    </row>
    <row r="135" spans="3:9" ht="13.2" x14ac:dyDescent="0.25">
      <c r="C135" s="2"/>
      <c r="D135" s="3"/>
      <c r="I135" s="4"/>
    </row>
    <row r="136" spans="3:9" ht="13.2" x14ac:dyDescent="0.25">
      <c r="C136" s="2"/>
      <c r="D136" s="3"/>
      <c r="I136" s="4"/>
    </row>
    <row r="137" spans="3:9" ht="13.2" x14ac:dyDescent="0.25">
      <c r="C137" s="2"/>
      <c r="D137" s="3"/>
      <c r="I137" s="4"/>
    </row>
    <row r="138" spans="3:9" ht="13.2" x14ac:dyDescent="0.25">
      <c r="C138" s="2"/>
      <c r="D138" s="3"/>
      <c r="I138" s="4"/>
    </row>
    <row r="139" spans="3:9" ht="13.2" x14ac:dyDescent="0.25">
      <c r="C139" s="2"/>
      <c r="D139" s="3"/>
      <c r="I139" s="4"/>
    </row>
    <row r="140" spans="3:9" ht="13.2" x14ac:dyDescent="0.25">
      <c r="C140" s="2"/>
      <c r="D140" s="3"/>
      <c r="I140" s="4"/>
    </row>
    <row r="141" spans="3:9" ht="13.2" x14ac:dyDescent="0.25">
      <c r="C141" s="2"/>
      <c r="D141" s="3"/>
      <c r="I141" s="4"/>
    </row>
    <row r="142" spans="3:9" ht="13.2" x14ac:dyDescent="0.25">
      <c r="C142" s="2"/>
      <c r="D142" s="3"/>
      <c r="I142" s="4"/>
    </row>
    <row r="143" spans="3:9" ht="13.2" x14ac:dyDescent="0.25">
      <c r="C143" s="2"/>
      <c r="D143" s="3"/>
      <c r="I143" s="4"/>
    </row>
    <row r="144" spans="3:9" ht="13.2" x14ac:dyDescent="0.25">
      <c r="C144" s="2"/>
      <c r="D144" s="3"/>
      <c r="I144" s="4"/>
    </row>
    <row r="145" spans="3:9" ht="13.2" x14ac:dyDescent="0.25">
      <c r="C145" s="2"/>
      <c r="D145" s="3"/>
      <c r="I145" s="4"/>
    </row>
    <row r="146" spans="3:9" ht="13.2" x14ac:dyDescent="0.25">
      <c r="C146" s="2"/>
      <c r="D146" s="3"/>
      <c r="I146" s="4"/>
    </row>
    <row r="147" spans="3:9" ht="13.2" x14ac:dyDescent="0.25">
      <c r="C147" s="2"/>
      <c r="D147" s="3"/>
      <c r="I147" s="4"/>
    </row>
    <row r="148" spans="3:9" ht="13.2" x14ac:dyDescent="0.25">
      <c r="C148" s="2"/>
      <c r="D148" s="3"/>
      <c r="I148" s="4"/>
    </row>
    <row r="149" spans="3:9" ht="13.2" x14ac:dyDescent="0.25">
      <c r="C149" s="2"/>
      <c r="D149" s="3"/>
      <c r="I149" s="4"/>
    </row>
    <row r="150" spans="3:9" ht="13.2" x14ac:dyDescent="0.25">
      <c r="C150" s="2"/>
      <c r="D150" s="3"/>
      <c r="I150" s="4"/>
    </row>
    <row r="151" spans="3:9" ht="13.2" x14ac:dyDescent="0.25">
      <c r="C151" s="2"/>
      <c r="D151" s="3"/>
      <c r="I151" s="4"/>
    </row>
    <row r="152" spans="3:9" ht="13.2" x14ac:dyDescent="0.25">
      <c r="C152" s="2"/>
      <c r="D152" s="3"/>
      <c r="I152" s="4"/>
    </row>
    <row r="153" spans="3:9" ht="13.2" x14ac:dyDescent="0.25">
      <c r="C153" s="2"/>
      <c r="D153" s="3"/>
      <c r="I153" s="4"/>
    </row>
    <row r="154" spans="3:9" ht="13.2" x14ac:dyDescent="0.25">
      <c r="C154" s="2"/>
      <c r="D154" s="3"/>
      <c r="I154" s="4"/>
    </row>
    <row r="155" spans="3:9" ht="13.2" x14ac:dyDescent="0.25">
      <c r="C155" s="2"/>
      <c r="D155" s="3"/>
      <c r="I155" s="4"/>
    </row>
    <row r="156" spans="3:9" ht="13.2" x14ac:dyDescent="0.25">
      <c r="C156" s="2"/>
      <c r="D156" s="3"/>
      <c r="I156" s="4"/>
    </row>
    <row r="157" spans="3:9" ht="13.2" x14ac:dyDescent="0.25">
      <c r="C157" s="2"/>
      <c r="D157" s="3"/>
      <c r="I157" s="4"/>
    </row>
    <row r="158" spans="3:9" ht="13.2" x14ac:dyDescent="0.25">
      <c r="C158" s="2"/>
      <c r="D158" s="3"/>
      <c r="I158" s="4"/>
    </row>
    <row r="159" spans="3:9" ht="13.2" x14ac:dyDescent="0.25">
      <c r="C159" s="2"/>
      <c r="D159" s="3"/>
      <c r="I159" s="4"/>
    </row>
    <row r="160" spans="3:9" ht="13.2" x14ac:dyDescent="0.25">
      <c r="C160" s="2"/>
      <c r="D160" s="3"/>
      <c r="I160" s="4"/>
    </row>
    <row r="161" spans="3:9" ht="13.2" x14ac:dyDescent="0.25">
      <c r="C161" s="2"/>
      <c r="D161" s="3"/>
      <c r="I161" s="4"/>
    </row>
    <row r="162" spans="3:9" ht="13.2" x14ac:dyDescent="0.25">
      <c r="C162" s="2"/>
      <c r="D162" s="3"/>
      <c r="I162" s="4"/>
    </row>
    <row r="163" spans="3:9" ht="13.2" x14ac:dyDescent="0.25">
      <c r="C163" s="2"/>
      <c r="D163" s="3"/>
      <c r="I163" s="4"/>
    </row>
    <row r="164" spans="3:9" ht="13.2" x14ac:dyDescent="0.25">
      <c r="C164" s="2"/>
      <c r="D164" s="3"/>
      <c r="I164" s="4"/>
    </row>
    <row r="165" spans="3:9" ht="13.2" x14ac:dyDescent="0.25">
      <c r="C165" s="2"/>
      <c r="D165" s="3"/>
      <c r="I165" s="4"/>
    </row>
    <row r="166" spans="3:9" ht="13.2" x14ac:dyDescent="0.25">
      <c r="C166" s="2"/>
      <c r="D166" s="3"/>
      <c r="I166" s="4"/>
    </row>
    <row r="167" spans="3:9" ht="13.2" x14ac:dyDescent="0.25">
      <c r="C167" s="2"/>
      <c r="D167" s="3"/>
      <c r="I167" s="4"/>
    </row>
    <row r="168" spans="3:9" ht="13.2" x14ac:dyDescent="0.25">
      <c r="C168" s="2"/>
      <c r="D168" s="3"/>
      <c r="I168" s="4"/>
    </row>
    <row r="169" spans="3:9" ht="13.2" x14ac:dyDescent="0.25">
      <c r="C169" s="2"/>
      <c r="D169" s="3"/>
      <c r="I169" s="4"/>
    </row>
    <row r="170" spans="3:9" ht="13.2" x14ac:dyDescent="0.25">
      <c r="C170" s="2"/>
      <c r="D170" s="3"/>
      <c r="I170" s="4"/>
    </row>
    <row r="171" spans="3:9" ht="13.2" x14ac:dyDescent="0.25">
      <c r="C171" s="2"/>
      <c r="D171" s="3"/>
      <c r="I171" s="4"/>
    </row>
    <row r="172" spans="3:9" ht="13.2" x14ac:dyDescent="0.25">
      <c r="C172" s="2"/>
      <c r="D172" s="3"/>
      <c r="I172" s="4"/>
    </row>
    <row r="173" spans="3:9" ht="13.2" x14ac:dyDescent="0.25">
      <c r="C173" s="2"/>
      <c r="D173" s="3"/>
      <c r="I173" s="4"/>
    </row>
    <row r="174" spans="3:9" ht="13.2" x14ac:dyDescent="0.25">
      <c r="C174" s="2"/>
      <c r="D174" s="3"/>
      <c r="I174" s="4"/>
    </row>
    <row r="175" spans="3:9" ht="13.2" x14ac:dyDescent="0.25">
      <c r="C175" s="2"/>
      <c r="D175" s="3"/>
      <c r="I175" s="4"/>
    </row>
    <row r="176" spans="3:9" ht="13.2" x14ac:dyDescent="0.25">
      <c r="C176" s="2"/>
      <c r="D176" s="3"/>
      <c r="I176" s="4"/>
    </row>
    <row r="177" spans="3:9" ht="13.2" x14ac:dyDescent="0.25">
      <c r="C177" s="2"/>
      <c r="D177" s="3"/>
      <c r="I177" s="4"/>
    </row>
    <row r="178" spans="3:9" ht="13.2" x14ac:dyDescent="0.25">
      <c r="C178" s="2"/>
      <c r="D178" s="3"/>
      <c r="I178" s="4"/>
    </row>
    <row r="179" spans="3:9" ht="13.2" x14ac:dyDescent="0.25">
      <c r="C179" s="2"/>
      <c r="D179" s="3"/>
      <c r="I179" s="4"/>
    </row>
    <row r="180" spans="3:9" ht="13.2" x14ac:dyDescent="0.25">
      <c r="C180" s="2"/>
      <c r="D180" s="3"/>
      <c r="I180" s="4"/>
    </row>
    <row r="181" spans="3:9" ht="13.2" x14ac:dyDescent="0.25">
      <c r="C181" s="2"/>
      <c r="D181" s="3"/>
      <c r="I181" s="4"/>
    </row>
    <row r="182" spans="3:9" ht="13.2" x14ac:dyDescent="0.25">
      <c r="C182" s="2"/>
      <c r="D182" s="3"/>
      <c r="I182" s="4"/>
    </row>
    <row r="183" spans="3:9" ht="13.2" x14ac:dyDescent="0.25">
      <c r="C183" s="2"/>
      <c r="D183" s="3"/>
      <c r="I183" s="4"/>
    </row>
    <row r="184" spans="3:9" ht="13.2" x14ac:dyDescent="0.25">
      <c r="C184" s="2"/>
      <c r="D184" s="3"/>
      <c r="I184" s="4"/>
    </row>
    <row r="185" spans="3:9" ht="13.2" x14ac:dyDescent="0.25">
      <c r="C185" s="2"/>
      <c r="D185" s="3"/>
      <c r="I185" s="4"/>
    </row>
    <row r="186" spans="3:9" ht="13.2" x14ac:dyDescent="0.25">
      <c r="C186" s="2"/>
      <c r="D186" s="3"/>
      <c r="I186" s="4"/>
    </row>
    <row r="187" spans="3:9" ht="13.2" x14ac:dyDescent="0.25">
      <c r="C187" s="2"/>
      <c r="D187" s="3"/>
      <c r="I187" s="4"/>
    </row>
    <row r="188" spans="3:9" ht="13.2" x14ac:dyDescent="0.25">
      <c r="C188" s="2"/>
      <c r="D188" s="3"/>
      <c r="I188" s="4"/>
    </row>
    <row r="189" spans="3:9" ht="13.2" x14ac:dyDescent="0.25">
      <c r="C189" s="2"/>
      <c r="D189" s="3"/>
      <c r="I189" s="4"/>
    </row>
    <row r="190" spans="3:9" ht="13.2" x14ac:dyDescent="0.25">
      <c r="C190" s="2"/>
      <c r="D190" s="3"/>
      <c r="I190" s="4"/>
    </row>
    <row r="191" spans="3:9" ht="13.2" x14ac:dyDescent="0.25">
      <c r="C191" s="2"/>
      <c r="D191" s="3"/>
      <c r="I191" s="4"/>
    </row>
    <row r="192" spans="3:9" ht="13.2" x14ac:dyDescent="0.25">
      <c r="C192" s="2"/>
      <c r="D192" s="3"/>
      <c r="I192" s="4"/>
    </row>
    <row r="193" spans="3:9" ht="13.2" x14ac:dyDescent="0.25">
      <c r="C193" s="2"/>
      <c r="D193" s="3"/>
      <c r="I193" s="4"/>
    </row>
    <row r="194" spans="3:9" ht="13.2" x14ac:dyDescent="0.25">
      <c r="C194" s="2"/>
      <c r="D194" s="3"/>
      <c r="I194" s="4"/>
    </row>
    <row r="195" spans="3:9" ht="13.2" x14ac:dyDescent="0.25">
      <c r="C195" s="2"/>
      <c r="D195" s="3"/>
      <c r="I195" s="4"/>
    </row>
    <row r="196" spans="3:9" ht="13.2" x14ac:dyDescent="0.25">
      <c r="C196" s="2"/>
      <c r="D196" s="3"/>
      <c r="I196" s="4"/>
    </row>
    <row r="197" spans="3:9" ht="13.2" x14ac:dyDescent="0.25">
      <c r="C197" s="2"/>
      <c r="D197" s="3"/>
      <c r="I197" s="4"/>
    </row>
    <row r="198" spans="3:9" ht="13.2" x14ac:dyDescent="0.25">
      <c r="C198" s="2"/>
      <c r="D198" s="3"/>
      <c r="I198" s="4"/>
    </row>
    <row r="199" spans="3:9" ht="13.2" x14ac:dyDescent="0.25">
      <c r="C199" s="2"/>
      <c r="D199" s="3"/>
      <c r="I199" s="4"/>
    </row>
    <row r="200" spans="3:9" ht="13.2" x14ac:dyDescent="0.25">
      <c r="C200" s="2"/>
      <c r="D200" s="3"/>
      <c r="I200" s="4"/>
    </row>
    <row r="201" spans="3:9" ht="13.2" x14ac:dyDescent="0.25">
      <c r="C201" s="2"/>
      <c r="D201" s="3"/>
      <c r="I201" s="4"/>
    </row>
    <row r="202" spans="3:9" ht="13.2" x14ac:dyDescent="0.25">
      <c r="C202" s="2"/>
      <c r="D202" s="3"/>
      <c r="I202" s="4"/>
    </row>
    <row r="203" spans="3:9" ht="13.2" x14ac:dyDescent="0.25">
      <c r="C203" s="2"/>
      <c r="D203" s="3"/>
      <c r="I203" s="4"/>
    </row>
    <row r="204" spans="3:9" ht="13.2" x14ac:dyDescent="0.25">
      <c r="C204" s="2"/>
      <c r="D204" s="3"/>
      <c r="I204" s="4"/>
    </row>
    <row r="205" spans="3:9" ht="13.2" x14ac:dyDescent="0.25">
      <c r="C205" s="2"/>
      <c r="D205" s="3"/>
      <c r="I205" s="4"/>
    </row>
    <row r="206" spans="3:9" ht="13.2" x14ac:dyDescent="0.25">
      <c r="C206" s="2"/>
      <c r="D206" s="3"/>
      <c r="I206" s="4"/>
    </row>
    <row r="207" spans="3:9" ht="13.2" x14ac:dyDescent="0.25">
      <c r="C207" s="2"/>
      <c r="D207" s="3"/>
      <c r="I207" s="4"/>
    </row>
    <row r="208" spans="3:9" ht="13.2" x14ac:dyDescent="0.25">
      <c r="C208" s="2"/>
      <c r="D208" s="3"/>
      <c r="I208" s="4"/>
    </row>
    <row r="209" spans="3:9" ht="13.2" x14ac:dyDescent="0.25">
      <c r="C209" s="2"/>
      <c r="D209" s="3"/>
      <c r="I209" s="4"/>
    </row>
    <row r="210" spans="3:9" ht="13.2" x14ac:dyDescent="0.25">
      <c r="C210" s="2"/>
      <c r="D210" s="3"/>
      <c r="I210" s="4"/>
    </row>
    <row r="211" spans="3:9" ht="13.2" x14ac:dyDescent="0.25">
      <c r="C211" s="2"/>
      <c r="D211" s="3"/>
      <c r="I211" s="4"/>
    </row>
    <row r="212" spans="3:9" ht="13.2" x14ac:dyDescent="0.25">
      <c r="C212" s="2"/>
      <c r="D212" s="3"/>
      <c r="I212" s="4"/>
    </row>
    <row r="213" spans="3:9" ht="13.2" x14ac:dyDescent="0.25">
      <c r="C213" s="2"/>
      <c r="D213" s="3"/>
      <c r="I213" s="4"/>
    </row>
    <row r="214" spans="3:9" ht="13.2" x14ac:dyDescent="0.25">
      <c r="C214" s="2"/>
      <c r="D214" s="3"/>
      <c r="I214" s="4"/>
    </row>
    <row r="215" spans="3:9" ht="13.2" x14ac:dyDescent="0.25">
      <c r="C215" s="2"/>
      <c r="D215" s="3"/>
      <c r="I215" s="4"/>
    </row>
    <row r="216" spans="3:9" ht="13.2" x14ac:dyDescent="0.25">
      <c r="C216" s="2"/>
      <c r="D216" s="3"/>
      <c r="I216" s="4"/>
    </row>
    <row r="217" spans="3:9" ht="13.2" x14ac:dyDescent="0.25">
      <c r="C217" s="2"/>
      <c r="D217" s="3"/>
      <c r="I217" s="4"/>
    </row>
    <row r="218" spans="3:9" ht="13.2" x14ac:dyDescent="0.25">
      <c r="C218" s="2"/>
      <c r="D218" s="3"/>
      <c r="I218" s="4"/>
    </row>
    <row r="219" spans="3:9" ht="13.2" x14ac:dyDescent="0.25">
      <c r="C219" s="2"/>
      <c r="D219" s="3"/>
      <c r="I219" s="4"/>
    </row>
    <row r="220" spans="3:9" ht="13.2" x14ac:dyDescent="0.25">
      <c r="C220" s="2"/>
      <c r="D220" s="3"/>
      <c r="I220" s="4"/>
    </row>
    <row r="221" spans="3:9" ht="13.2" x14ac:dyDescent="0.25">
      <c r="C221" s="2"/>
      <c r="D221" s="3"/>
      <c r="I221" s="4"/>
    </row>
    <row r="222" spans="3:9" ht="13.2" x14ac:dyDescent="0.25">
      <c r="C222" s="2"/>
      <c r="D222" s="3"/>
      <c r="I222" s="4"/>
    </row>
    <row r="223" spans="3:9" ht="13.2" x14ac:dyDescent="0.25">
      <c r="C223" s="2"/>
      <c r="D223" s="3"/>
      <c r="I223" s="4"/>
    </row>
    <row r="224" spans="3:9" ht="13.2" x14ac:dyDescent="0.25">
      <c r="C224" s="2"/>
      <c r="D224" s="3"/>
      <c r="I224" s="4"/>
    </row>
    <row r="225" spans="3:9" ht="13.2" x14ac:dyDescent="0.25">
      <c r="C225" s="2"/>
      <c r="D225" s="3"/>
      <c r="I225" s="4"/>
    </row>
    <row r="226" spans="3:9" ht="13.2" x14ac:dyDescent="0.25">
      <c r="C226" s="2"/>
      <c r="D226" s="3"/>
      <c r="I226" s="4"/>
    </row>
    <row r="227" spans="3:9" ht="13.2" x14ac:dyDescent="0.25">
      <c r="C227" s="2"/>
      <c r="D227" s="3"/>
      <c r="I227" s="4"/>
    </row>
    <row r="228" spans="3:9" ht="13.2" x14ac:dyDescent="0.25">
      <c r="C228" s="2"/>
      <c r="D228" s="3"/>
      <c r="I228" s="4"/>
    </row>
    <row r="229" spans="3:9" ht="13.2" x14ac:dyDescent="0.25">
      <c r="C229" s="2"/>
      <c r="D229" s="3"/>
      <c r="I229" s="4"/>
    </row>
    <row r="230" spans="3:9" ht="13.2" x14ac:dyDescent="0.25">
      <c r="C230" s="2"/>
      <c r="D230" s="3"/>
      <c r="I230" s="4"/>
    </row>
    <row r="231" spans="3:9" ht="13.2" x14ac:dyDescent="0.25">
      <c r="C231" s="2"/>
      <c r="D231" s="3"/>
      <c r="I231" s="4"/>
    </row>
    <row r="232" spans="3:9" ht="13.2" x14ac:dyDescent="0.25">
      <c r="C232" s="2"/>
      <c r="D232" s="3"/>
      <c r="I232" s="4"/>
    </row>
    <row r="233" spans="3:9" ht="13.2" x14ac:dyDescent="0.25">
      <c r="C233" s="2"/>
      <c r="D233" s="3"/>
      <c r="I233" s="4"/>
    </row>
    <row r="234" spans="3:9" ht="13.2" x14ac:dyDescent="0.25">
      <c r="C234" s="2"/>
      <c r="D234" s="3"/>
      <c r="I234" s="4"/>
    </row>
    <row r="235" spans="3:9" ht="13.2" x14ac:dyDescent="0.25">
      <c r="C235" s="2"/>
      <c r="D235" s="3"/>
      <c r="I235" s="4"/>
    </row>
    <row r="236" spans="3:9" ht="13.2" x14ac:dyDescent="0.25">
      <c r="C236" s="2"/>
      <c r="D236" s="3"/>
      <c r="I236" s="4"/>
    </row>
    <row r="237" spans="3:9" ht="13.2" x14ac:dyDescent="0.25">
      <c r="C237" s="2"/>
      <c r="D237" s="3"/>
      <c r="I237" s="4"/>
    </row>
    <row r="238" spans="3:9" ht="13.2" x14ac:dyDescent="0.25">
      <c r="C238" s="2"/>
      <c r="D238" s="3"/>
      <c r="I238" s="4"/>
    </row>
    <row r="239" spans="3:9" ht="13.2" x14ac:dyDescent="0.25">
      <c r="C239" s="2"/>
      <c r="D239" s="3"/>
      <c r="I239" s="4"/>
    </row>
    <row r="240" spans="3:9" ht="13.2" x14ac:dyDescent="0.25">
      <c r="C240" s="2"/>
      <c r="D240" s="3"/>
      <c r="I240" s="4"/>
    </row>
    <row r="241" spans="3:9" ht="13.2" x14ac:dyDescent="0.25">
      <c r="C241" s="2"/>
      <c r="D241" s="3"/>
      <c r="I241" s="4"/>
    </row>
    <row r="242" spans="3:9" ht="13.2" x14ac:dyDescent="0.25">
      <c r="C242" s="2"/>
      <c r="D242" s="3"/>
      <c r="I242" s="4"/>
    </row>
    <row r="243" spans="3:9" ht="13.2" x14ac:dyDescent="0.25">
      <c r="C243" s="2"/>
      <c r="D243" s="3"/>
      <c r="I243" s="4"/>
    </row>
    <row r="244" spans="3:9" ht="13.2" x14ac:dyDescent="0.25">
      <c r="C244" s="2"/>
      <c r="D244" s="3"/>
      <c r="I244" s="4"/>
    </row>
    <row r="245" spans="3:9" ht="13.2" x14ac:dyDescent="0.25">
      <c r="C245" s="2"/>
      <c r="D245" s="3"/>
      <c r="I245" s="4"/>
    </row>
    <row r="246" spans="3:9" ht="13.2" x14ac:dyDescent="0.25">
      <c r="C246" s="2"/>
      <c r="D246" s="3"/>
      <c r="I246" s="4"/>
    </row>
    <row r="247" spans="3:9" ht="13.2" x14ac:dyDescent="0.25">
      <c r="C247" s="2"/>
      <c r="D247" s="3"/>
      <c r="I247" s="4"/>
    </row>
    <row r="248" spans="3:9" ht="13.2" x14ac:dyDescent="0.25">
      <c r="C248" s="2"/>
      <c r="D248" s="3"/>
      <c r="I248" s="4"/>
    </row>
    <row r="249" spans="3:9" ht="13.2" x14ac:dyDescent="0.25">
      <c r="C249" s="2"/>
      <c r="D249" s="3"/>
      <c r="I249" s="4"/>
    </row>
    <row r="250" spans="3:9" ht="13.2" x14ac:dyDescent="0.25">
      <c r="C250" s="2"/>
      <c r="D250" s="3"/>
      <c r="I250" s="4"/>
    </row>
    <row r="251" spans="3:9" ht="13.2" x14ac:dyDescent="0.25">
      <c r="C251" s="2"/>
      <c r="D251" s="3"/>
      <c r="I251" s="4"/>
    </row>
    <row r="252" spans="3:9" ht="13.2" x14ac:dyDescent="0.25">
      <c r="C252" s="2"/>
      <c r="D252" s="3"/>
      <c r="I252" s="4"/>
    </row>
    <row r="253" spans="3:9" ht="13.2" x14ac:dyDescent="0.25">
      <c r="C253" s="2"/>
      <c r="D253" s="3"/>
      <c r="I253" s="4"/>
    </row>
    <row r="254" spans="3:9" ht="13.2" x14ac:dyDescent="0.25">
      <c r="C254" s="2"/>
      <c r="D254" s="3"/>
      <c r="I254" s="4"/>
    </row>
    <row r="255" spans="3:9" ht="13.2" x14ac:dyDescent="0.25">
      <c r="C255" s="2"/>
      <c r="D255" s="3"/>
      <c r="I255" s="4"/>
    </row>
    <row r="256" spans="3:9" ht="13.2" x14ac:dyDescent="0.25">
      <c r="C256" s="2"/>
      <c r="D256" s="3"/>
      <c r="I256" s="4"/>
    </row>
    <row r="257" spans="3:9" ht="13.2" x14ac:dyDescent="0.25">
      <c r="C257" s="2"/>
      <c r="D257" s="3"/>
      <c r="I257" s="4"/>
    </row>
    <row r="258" spans="3:9" ht="13.2" x14ac:dyDescent="0.25">
      <c r="C258" s="2"/>
      <c r="D258" s="3"/>
      <c r="I258" s="4"/>
    </row>
    <row r="259" spans="3:9" ht="13.2" x14ac:dyDescent="0.25">
      <c r="C259" s="2"/>
      <c r="D259" s="3"/>
      <c r="I259" s="4"/>
    </row>
    <row r="260" spans="3:9" ht="13.2" x14ac:dyDescent="0.25">
      <c r="C260" s="2"/>
      <c r="D260" s="3"/>
      <c r="I260" s="4"/>
    </row>
    <row r="261" spans="3:9" ht="13.2" x14ac:dyDescent="0.25">
      <c r="C261" s="2"/>
      <c r="D261" s="3"/>
      <c r="I261" s="4"/>
    </row>
    <row r="262" spans="3:9" ht="13.2" x14ac:dyDescent="0.25">
      <c r="C262" s="2"/>
      <c r="D262" s="3"/>
      <c r="I262" s="4"/>
    </row>
    <row r="263" spans="3:9" ht="13.2" x14ac:dyDescent="0.25">
      <c r="C263" s="2"/>
      <c r="D263" s="3"/>
      <c r="I263" s="4"/>
    </row>
    <row r="264" spans="3:9" ht="13.2" x14ac:dyDescent="0.25">
      <c r="C264" s="2"/>
      <c r="D264" s="3"/>
      <c r="I264" s="4"/>
    </row>
    <row r="265" spans="3:9" ht="13.2" x14ac:dyDescent="0.25">
      <c r="C265" s="2"/>
      <c r="D265" s="3"/>
      <c r="I265" s="4"/>
    </row>
    <row r="266" spans="3:9" ht="13.2" x14ac:dyDescent="0.25">
      <c r="C266" s="2"/>
      <c r="D266" s="3"/>
      <c r="I266" s="4"/>
    </row>
    <row r="267" spans="3:9" ht="13.2" x14ac:dyDescent="0.25">
      <c r="C267" s="2"/>
      <c r="D267" s="3"/>
      <c r="I267" s="4"/>
    </row>
    <row r="268" spans="3:9" ht="13.2" x14ac:dyDescent="0.25">
      <c r="C268" s="2"/>
      <c r="D268" s="3"/>
      <c r="I268" s="4"/>
    </row>
    <row r="269" spans="3:9" ht="13.2" x14ac:dyDescent="0.25">
      <c r="C269" s="2"/>
      <c r="D269" s="3"/>
      <c r="I269" s="4"/>
    </row>
    <row r="270" spans="3:9" ht="13.2" x14ac:dyDescent="0.25">
      <c r="C270" s="2"/>
      <c r="D270" s="3"/>
      <c r="I270" s="4"/>
    </row>
    <row r="271" spans="3:9" ht="13.2" x14ac:dyDescent="0.25">
      <c r="C271" s="2"/>
      <c r="D271" s="3"/>
      <c r="I271" s="4"/>
    </row>
    <row r="272" spans="3:9" ht="13.2" x14ac:dyDescent="0.25">
      <c r="C272" s="2"/>
      <c r="D272" s="3"/>
      <c r="I272" s="4"/>
    </row>
    <row r="273" spans="3:9" ht="13.2" x14ac:dyDescent="0.25">
      <c r="C273" s="2"/>
      <c r="D273" s="3"/>
      <c r="I273" s="4"/>
    </row>
    <row r="274" spans="3:9" ht="13.2" x14ac:dyDescent="0.25">
      <c r="C274" s="2"/>
      <c r="D274" s="3"/>
      <c r="I274" s="4"/>
    </row>
    <row r="275" spans="3:9" ht="13.2" x14ac:dyDescent="0.25">
      <c r="C275" s="2"/>
      <c r="D275" s="3"/>
      <c r="I275" s="4"/>
    </row>
    <row r="276" spans="3:9" ht="13.2" x14ac:dyDescent="0.25">
      <c r="C276" s="2"/>
      <c r="D276" s="3"/>
      <c r="I276" s="4"/>
    </row>
    <row r="277" spans="3:9" ht="13.2" x14ac:dyDescent="0.25">
      <c r="C277" s="2"/>
      <c r="D277" s="3"/>
      <c r="I277" s="4"/>
    </row>
    <row r="278" spans="3:9" ht="13.2" x14ac:dyDescent="0.25">
      <c r="C278" s="2"/>
      <c r="D278" s="3"/>
      <c r="I278" s="4"/>
    </row>
    <row r="279" spans="3:9" ht="13.2" x14ac:dyDescent="0.25">
      <c r="C279" s="2"/>
      <c r="D279" s="3"/>
      <c r="I279" s="4"/>
    </row>
    <row r="280" spans="3:9" ht="13.2" x14ac:dyDescent="0.25">
      <c r="C280" s="2"/>
      <c r="D280" s="3"/>
      <c r="I280" s="4"/>
    </row>
    <row r="281" spans="3:9" ht="13.2" x14ac:dyDescent="0.25">
      <c r="C281" s="2"/>
      <c r="D281" s="3"/>
      <c r="I281" s="4"/>
    </row>
    <row r="282" spans="3:9" ht="13.2" x14ac:dyDescent="0.25">
      <c r="C282" s="2"/>
      <c r="D282" s="3"/>
      <c r="I282" s="4"/>
    </row>
    <row r="283" spans="3:9" ht="13.2" x14ac:dyDescent="0.25">
      <c r="C283" s="2"/>
      <c r="D283" s="3"/>
      <c r="I283" s="4"/>
    </row>
    <row r="284" spans="3:9" ht="13.2" x14ac:dyDescent="0.25">
      <c r="C284" s="2"/>
      <c r="D284" s="3"/>
      <c r="I284" s="4"/>
    </row>
    <row r="285" spans="3:9" ht="13.2" x14ac:dyDescent="0.25">
      <c r="C285" s="2"/>
      <c r="D285" s="3"/>
      <c r="I285" s="4"/>
    </row>
    <row r="286" spans="3:9" ht="13.2" x14ac:dyDescent="0.25">
      <c r="C286" s="2"/>
      <c r="D286" s="3"/>
      <c r="I286" s="4"/>
    </row>
    <row r="287" spans="3:9" ht="13.2" x14ac:dyDescent="0.25">
      <c r="C287" s="2"/>
      <c r="D287" s="3"/>
      <c r="I287" s="4"/>
    </row>
    <row r="288" spans="3:9" ht="13.2" x14ac:dyDescent="0.25">
      <c r="C288" s="2"/>
      <c r="D288" s="3"/>
      <c r="I288" s="4"/>
    </row>
    <row r="289" spans="3:9" ht="13.2" x14ac:dyDescent="0.25">
      <c r="C289" s="2"/>
      <c r="D289" s="3"/>
      <c r="I289" s="4"/>
    </row>
    <row r="290" spans="3:9" ht="13.2" x14ac:dyDescent="0.25">
      <c r="C290" s="2"/>
      <c r="D290" s="3"/>
      <c r="I290" s="4"/>
    </row>
    <row r="291" spans="3:9" ht="13.2" x14ac:dyDescent="0.25">
      <c r="C291" s="2"/>
      <c r="D291" s="3"/>
      <c r="I291" s="4"/>
    </row>
    <row r="292" spans="3:9" ht="13.2" x14ac:dyDescent="0.25">
      <c r="C292" s="2"/>
      <c r="D292" s="3"/>
      <c r="I292" s="4"/>
    </row>
    <row r="293" spans="3:9" ht="13.2" x14ac:dyDescent="0.25">
      <c r="C293" s="2"/>
      <c r="D293" s="3"/>
      <c r="I293" s="4"/>
    </row>
    <row r="294" spans="3:9" ht="13.2" x14ac:dyDescent="0.25">
      <c r="C294" s="2"/>
      <c r="D294" s="3"/>
      <c r="I294" s="4"/>
    </row>
    <row r="295" spans="3:9" ht="13.2" x14ac:dyDescent="0.25">
      <c r="C295" s="2"/>
      <c r="D295" s="3"/>
      <c r="I295" s="4"/>
    </row>
    <row r="296" spans="3:9" ht="13.2" x14ac:dyDescent="0.25">
      <c r="C296" s="2"/>
      <c r="D296" s="3"/>
      <c r="I296" s="4"/>
    </row>
    <row r="297" spans="3:9" ht="13.2" x14ac:dyDescent="0.25">
      <c r="C297" s="2"/>
      <c r="D297" s="3"/>
      <c r="I297" s="4"/>
    </row>
    <row r="298" spans="3:9" ht="13.2" x14ac:dyDescent="0.25">
      <c r="C298" s="2"/>
      <c r="D298" s="3"/>
      <c r="I298" s="4"/>
    </row>
    <row r="299" spans="3:9" ht="13.2" x14ac:dyDescent="0.25">
      <c r="C299" s="2"/>
      <c r="D299" s="3"/>
      <c r="I299" s="4"/>
    </row>
    <row r="300" spans="3:9" ht="13.2" x14ac:dyDescent="0.25">
      <c r="C300" s="2"/>
      <c r="D300" s="3"/>
      <c r="I300" s="4"/>
    </row>
    <row r="301" spans="3:9" ht="13.2" x14ac:dyDescent="0.25">
      <c r="C301" s="2"/>
      <c r="D301" s="3"/>
      <c r="I301" s="4"/>
    </row>
    <row r="302" spans="3:9" ht="13.2" x14ac:dyDescent="0.25">
      <c r="C302" s="2"/>
      <c r="D302" s="3"/>
      <c r="I302" s="4"/>
    </row>
    <row r="303" spans="3:9" ht="13.2" x14ac:dyDescent="0.25">
      <c r="C303" s="2"/>
      <c r="D303" s="3"/>
      <c r="I303" s="4"/>
    </row>
    <row r="304" spans="3:9" ht="13.2" x14ac:dyDescent="0.25">
      <c r="C304" s="2"/>
      <c r="D304" s="3"/>
      <c r="I304" s="4"/>
    </row>
    <row r="305" spans="3:9" ht="13.2" x14ac:dyDescent="0.25">
      <c r="C305" s="2"/>
      <c r="D305" s="3"/>
      <c r="I305" s="4"/>
    </row>
    <row r="306" spans="3:9" ht="13.2" x14ac:dyDescent="0.25">
      <c r="C306" s="2"/>
      <c r="D306" s="3"/>
      <c r="I306" s="4"/>
    </row>
    <row r="307" spans="3:9" ht="13.2" x14ac:dyDescent="0.25">
      <c r="C307" s="2"/>
      <c r="D307" s="3"/>
      <c r="I307" s="4"/>
    </row>
    <row r="308" spans="3:9" ht="13.2" x14ac:dyDescent="0.25">
      <c r="C308" s="2"/>
      <c r="D308" s="3"/>
      <c r="I308" s="4"/>
    </row>
    <row r="309" spans="3:9" ht="13.2" x14ac:dyDescent="0.25">
      <c r="C309" s="2"/>
      <c r="D309" s="3"/>
      <c r="I309" s="4"/>
    </row>
    <row r="310" spans="3:9" ht="13.2" x14ac:dyDescent="0.25">
      <c r="C310" s="2"/>
      <c r="D310" s="3"/>
      <c r="I310" s="4"/>
    </row>
    <row r="311" spans="3:9" ht="13.2" x14ac:dyDescent="0.25">
      <c r="C311" s="2"/>
      <c r="D311" s="3"/>
      <c r="I311" s="4"/>
    </row>
    <row r="312" spans="3:9" ht="13.2" x14ac:dyDescent="0.25">
      <c r="C312" s="2"/>
      <c r="D312" s="3"/>
      <c r="I312" s="4"/>
    </row>
    <row r="313" spans="3:9" ht="13.2" x14ac:dyDescent="0.25">
      <c r="C313" s="2"/>
      <c r="D313" s="3"/>
      <c r="I313" s="4"/>
    </row>
    <row r="314" spans="3:9" ht="13.2" x14ac:dyDescent="0.25">
      <c r="C314" s="2"/>
      <c r="D314" s="3"/>
      <c r="I314" s="4"/>
    </row>
    <row r="315" spans="3:9" ht="13.2" x14ac:dyDescent="0.25">
      <c r="C315" s="2"/>
      <c r="D315" s="3"/>
      <c r="I315" s="4"/>
    </row>
    <row r="316" spans="3:9" ht="13.2" x14ac:dyDescent="0.25">
      <c r="C316" s="2"/>
      <c r="D316" s="3"/>
      <c r="I316" s="4"/>
    </row>
    <row r="317" spans="3:9" ht="13.2" x14ac:dyDescent="0.25">
      <c r="C317" s="2"/>
      <c r="D317" s="3"/>
      <c r="I317" s="4"/>
    </row>
    <row r="318" spans="3:9" ht="13.2" x14ac:dyDescent="0.25">
      <c r="C318" s="2"/>
      <c r="D318" s="3"/>
      <c r="I318" s="4"/>
    </row>
    <row r="319" spans="3:9" ht="13.2" x14ac:dyDescent="0.25">
      <c r="C319" s="2"/>
      <c r="D319" s="3"/>
      <c r="I319" s="4"/>
    </row>
    <row r="320" spans="3:9" ht="13.2" x14ac:dyDescent="0.25">
      <c r="C320" s="2"/>
      <c r="D320" s="3"/>
      <c r="I320" s="4"/>
    </row>
    <row r="321" spans="3:9" ht="13.2" x14ac:dyDescent="0.25">
      <c r="C321" s="2"/>
      <c r="D321" s="3"/>
      <c r="I321" s="4"/>
    </row>
    <row r="322" spans="3:9" ht="13.2" x14ac:dyDescent="0.25">
      <c r="C322" s="2"/>
      <c r="D322" s="3"/>
      <c r="I322" s="4"/>
    </row>
    <row r="323" spans="3:9" ht="13.2" x14ac:dyDescent="0.25">
      <c r="C323" s="2"/>
      <c r="D323" s="3"/>
      <c r="I323" s="4"/>
    </row>
    <row r="324" spans="3:9" ht="13.2" x14ac:dyDescent="0.25">
      <c r="C324" s="2"/>
      <c r="D324" s="3"/>
      <c r="I324" s="4"/>
    </row>
    <row r="325" spans="3:9" ht="13.2" x14ac:dyDescent="0.25">
      <c r="C325" s="2"/>
      <c r="D325" s="3"/>
      <c r="I325" s="4"/>
    </row>
    <row r="326" spans="3:9" ht="13.2" x14ac:dyDescent="0.25">
      <c r="C326" s="2"/>
      <c r="D326" s="3"/>
      <c r="I326" s="4"/>
    </row>
    <row r="327" spans="3:9" ht="13.2" x14ac:dyDescent="0.25">
      <c r="C327" s="2"/>
      <c r="D327" s="3"/>
      <c r="I327" s="4"/>
    </row>
    <row r="328" spans="3:9" ht="13.2" x14ac:dyDescent="0.25">
      <c r="C328" s="2"/>
      <c r="D328" s="3"/>
      <c r="I328" s="4"/>
    </row>
    <row r="329" spans="3:9" ht="13.2" x14ac:dyDescent="0.25">
      <c r="C329" s="2"/>
      <c r="D329" s="3"/>
      <c r="I329" s="4"/>
    </row>
    <row r="330" spans="3:9" ht="13.2" x14ac:dyDescent="0.25">
      <c r="C330" s="2"/>
      <c r="D330" s="3"/>
      <c r="I330" s="4"/>
    </row>
    <row r="331" spans="3:9" ht="13.2" x14ac:dyDescent="0.25">
      <c r="C331" s="2"/>
      <c r="D331" s="3"/>
      <c r="I331" s="4"/>
    </row>
    <row r="332" spans="3:9" ht="13.2" x14ac:dyDescent="0.25">
      <c r="C332" s="2"/>
      <c r="D332" s="3"/>
      <c r="I332" s="4"/>
    </row>
    <row r="333" spans="3:9" ht="13.2" x14ac:dyDescent="0.25">
      <c r="C333" s="2"/>
      <c r="D333" s="3"/>
      <c r="I333" s="4"/>
    </row>
    <row r="334" spans="3:9" ht="13.2" x14ac:dyDescent="0.25">
      <c r="C334" s="2"/>
      <c r="D334" s="3"/>
      <c r="I334" s="4"/>
    </row>
    <row r="335" spans="3:9" ht="13.2" x14ac:dyDescent="0.25">
      <c r="C335" s="2"/>
      <c r="D335" s="3"/>
      <c r="I335" s="4"/>
    </row>
    <row r="336" spans="3:9" ht="13.2" x14ac:dyDescent="0.25">
      <c r="C336" s="2"/>
      <c r="D336" s="3"/>
      <c r="I336" s="4"/>
    </row>
    <row r="337" spans="3:9" ht="13.2" x14ac:dyDescent="0.25">
      <c r="C337" s="2"/>
      <c r="D337" s="3"/>
      <c r="I337" s="4"/>
    </row>
    <row r="338" spans="3:9" ht="13.2" x14ac:dyDescent="0.25">
      <c r="C338" s="2"/>
      <c r="D338" s="3"/>
      <c r="I338" s="4"/>
    </row>
    <row r="339" spans="3:9" ht="13.2" x14ac:dyDescent="0.25">
      <c r="C339" s="2"/>
      <c r="D339" s="3"/>
      <c r="I339" s="4"/>
    </row>
    <row r="340" spans="3:9" ht="13.2" x14ac:dyDescent="0.25">
      <c r="C340" s="2"/>
      <c r="D340" s="3"/>
      <c r="I340" s="4"/>
    </row>
    <row r="341" spans="3:9" ht="13.2" x14ac:dyDescent="0.25">
      <c r="C341" s="2"/>
      <c r="D341" s="3"/>
      <c r="I341" s="4"/>
    </row>
    <row r="342" spans="3:9" ht="13.2" x14ac:dyDescent="0.25">
      <c r="C342" s="2"/>
      <c r="D342" s="3"/>
      <c r="I342" s="4"/>
    </row>
    <row r="343" spans="3:9" ht="13.2" x14ac:dyDescent="0.25">
      <c r="C343" s="2"/>
      <c r="D343" s="3"/>
      <c r="I343" s="4"/>
    </row>
    <row r="344" spans="3:9" ht="13.2" x14ac:dyDescent="0.25">
      <c r="C344" s="2"/>
      <c r="D344" s="3"/>
      <c r="I344" s="4"/>
    </row>
    <row r="345" spans="3:9" ht="13.2" x14ac:dyDescent="0.25">
      <c r="C345" s="2"/>
      <c r="D345" s="3"/>
      <c r="I345" s="4"/>
    </row>
    <row r="346" spans="3:9" ht="13.2" x14ac:dyDescent="0.25">
      <c r="C346" s="2"/>
      <c r="D346" s="3"/>
      <c r="I346" s="4"/>
    </row>
    <row r="347" spans="3:9" ht="13.2" x14ac:dyDescent="0.25">
      <c r="C347" s="2"/>
      <c r="D347" s="3"/>
      <c r="I347" s="4"/>
    </row>
    <row r="348" spans="3:9" ht="13.2" x14ac:dyDescent="0.25">
      <c r="C348" s="2"/>
      <c r="D348" s="3"/>
      <c r="I348" s="4"/>
    </row>
    <row r="349" spans="3:9" ht="13.2" x14ac:dyDescent="0.25">
      <c r="C349" s="2"/>
      <c r="D349" s="3"/>
      <c r="I349" s="4"/>
    </row>
    <row r="350" spans="3:9" ht="13.2" x14ac:dyDescent="0.25">
      <c r="C350" s="2"/>
      <c r="D350" s="3"/>
      <c r="I350" s="4"/>
    </row>
    <row r="351" spans="3:9" ht="13.2" x14ac:dyDescent="0.25">
      <c r="C351" s="2"/>
      <c r="D351" s="3"/>
      <c r="I351" s="4"/>
    </row>
    <row r="352" spans="3:9" ht="13.2" x14ac:dyDescent="0.25">
      <c r="C352" s="2"/>
      <c r="D352" s="3"/>
      <c r="I352" s="4"/>
    </row>
    <row r="353" spans="3:9" ht="13.2" x14ac:dyDescent="0.25">
      <c r="C353" s="2"/>
      <c r="D353" s="3"/>
      <c r="I353" s="4"/>
    </row>
    <row r="354" spans="3:9" ht="13.2" x14ac:dyDescent="0.25">
      <c r="C354" s="2"/>
      <c r="D354" s="3"/>
      <c r="I354" s="4"/>
    </row>
    <row r="355" spans="3:9" ht="13.2" x14ac:dyDescent="0.25">
      <c r="C355" s="2"/>
      <c r="D355" s="3"/>
      <c r="I355" s="4"/>
    </row>
    <row r="356" spans="3:9" ht="13.2" x14ac:dyDescent="0.25">
      <c r="C356" s="2"/>
      <c r="D356" s="3"/>
      <c r="I356" s="4"/>
    </row>
    <row r="357" spans="3:9" ht="13.2" x14ac:dyDescent="0.25">
      <c r="C357" s="2"/>
      <c r="D357" s="3"/>
      <c r="I357" s="4"/>
    </row>
    <row r="358" spans="3:9" ht="13.2" x14ac:dyDescent="0.25">
      <c r="C358" s="2"/>
      <c r="D358" s="3"/>
      <c r="I358" s="4"/>
    </row>
    <row r="359" spans="3:9" ht="13.2" x14ac:dyDescent="0.25">
      <c r="C359" s="2"/>
      <c r="D359" s="3"/>
      <c r="I359" s="4"/>
    </row>
    <row r="360" spans="3:9" ht="13.2" x14ac:dyDescent="0.25">
      <c r="C360" s="2"/>
      <c r="D360" s="3"/>
      <c r="I360" s="4"/>
    </row>
    <row r="361" spans="3:9" ht="13.2" x14ac:dyDescent="0.25">
      <c r="C361" s="2"/>
      <c r="D361" s="3"/>
      <c r="I361" s="4"/>
    </row>
    <row r="362" spans="3:9" ht="13.2" x14ac:dyDescent="0.25">
      <c r="C362" s="2"/>
      <c r="D362" s="3"/>
      <c r="I362" s="4"/>
    </row>
    <row r="363" spans="3:9" ht="13.2" x14ac:dyDescent="0.25">
      <c r="C363" s="2"/>
      <c r="D363" s="3"/>
      <c r="I363" s="4"/>
    </row>
    <row r="364" spans="3:9" ht="13.2" x14ac:dyDescent="0.25">
      <c r="C364" s="2"/>
      <c r="D364" s="3"/>
      <c r="I364" s="4"/>
    </row>
    <row r="365" spans="3:9" ht="13.2" x14ac:dyDescent="0.25">
      <c r="C365" s="2"/>
      <c r="D365" s="3"/>
      <c r="I365" s="4"/>
    </row>
    <row r="366" spans="3:9" ht="13.2" x14ac:dyDescent="0.25">
      <c r="C366" s="2"/>
      <c r="D366" s="3"/>
      <c r="I366" s="4"/>
    </row>
    <row r="367" spans="3:9" ht="13.2" x14ac:dyDescent="0.25">
      <c r="C367" s="2"/>
      <c r="D367" s="3"/>
      <c r="I367" s="4"/>
    </row>
    <row r="368" spans="3:9" ht="13.2" x14ac:dyDescent="0.25">
      <c r="C368" s="2"/>
      <c r="D368" s="3"/>
      <c r="I368" s="4"/>
    </row>
    <row r="369" spans="3:9" ht="13.2" x14ac:dyDescent="0.25">
      <c r="C369" s="2"/>
      <c r="D369" s="3"/>
      <c r="I369" s="4"/>
    </row>
    <row r="370" spans="3:9" ht="13.2" x14ac:dyDescent="0.25">
      <c r="C370" s="2"/>
      <c r="D370" s="3"/>
      <c r="I370" s="4"/>
    </row>
    <row r="371" spans="3:9" ht="13.2" x14ac:dyDescent="0.25">
      <c r="C371" s="2"/>
      <c r="D371" s="3"/>
      <c r="I371" s="4"/>
    </row>
    <row r="372" spans="3:9" ht="13.2" x14ac:dyDescent="0.25">
      <c r="C372" s="2"/>
      <c r="D372" s="3"/>
      <c r="I372" s="4"/>
    </row>
    <row r="373" spans="3:9" ht="13.2" x14ac:dyDescent="0.25">
      <c r="C373" s="2"/>
      <c r="D373" s="3"/>
      <c r="I373" s="4"/>
    </row>
    <row r="374" spans="3:9" ht="13.2" x14ac:dyDescent="0.25">
      <c r="C374" s="2"/>
      <c r="D374" s="3"/>
      <c r="I374" s="4"/>
    </row>
    <row r="375" spans="3:9" ht="13.2" x14ac:dyDescent="0.25">
      <c r="C375" s="2"/>
      <c r="D375" s="3"/>
      <c r="I375" s="4"/>
    </row>
    <row r="376" spans="3:9" ht="13.2" x14ac:dyDescent="0.25">
      <c r="C376" s="2"/>
      <c r="D376" s="3"/>
      <c r="I376" s="4"/>
    </row>
    <row r="377" spans="3:9" ht="13.2" x14ac:dyDescent="0.25">
      <c r="C377" s="2"/>
      <c r="D377" s="3"/>
      <c r="I377" s="4"/>
    </row>
    <row r="378" spans="3:9" ht="13.2" x14ac:dyDescent="0.25">
      <c r="C378" s="2"/>
      <c r="D378" s="3"/>
      <c r="I378" s="4"/>
    </row>
    <row r="379" spans="3:9" ht="13.2" x14ac:dyDescent="0.25">
      <c r="C379" s="2"/>
      <c r="D379" s="3"/>
      <c r="I379" s="4"/>
    </row>
    <row r="380" spans="3:9" ht="13.2" x14ac:dyDescent="0.25">
      <c r="C380" s="2"/>
      <c r="D380" s="3"/>
      <c r="I380" s="4"/>
    </row>
    <row r="381" spans="3:9" ht="13.2" x14ac:dyDescent="0.25">
      <c r="C381" s="2"/>
      <c r="D381" s="3"/>
      <c r="I381" s="4"/>
    </row>
    <row r="382" spans="3:9" ht="13.2" x14ac:dyDescent="0.25">
      <c r="C382" s="2"/>
      <c r="D382" s="3"/>
      <c r="I382" s="4"/>
    </row>
    <row r="383" spans="3:9" ht="13.2" x14ac:dyDescent="0.25">
      <c r="C383" s="2"/>
      <c r="D383" s="3"/>
      <c r="I383" s="4"/>
    </row>
    <row r="384" spans="3:9" ht="13.2" x14ac:dyDescent="0.25">
      <c r="C384" s="2"/>
      <c r="D384" s="3"/>
      <c r="I384" s="4"/>
    </row>
    <row r="385" spans="3:9" ht="13.2" x14ac:dyDescent="0.25">
      <c r="C385" s="2"/>
      <c r="D385" s="3"/>
      <c r="I385" s="4"/>
    </row>
    <row r="386" spans="3:9" ht="13.2" x14ac:dyDescent="0.25">
      <c r="C386" s="2"/>
      <c r="D386" s="3"/>
      <c r="I386" s="4"/>
    </row>
    <row r="387" spans="3:9" ht="13.2" x14ac:dyDescent="0.25">
      <c r="C387" s="2"/>
      <c r="D387" s="3"/>
      <c r="I387" s="4"/>
    </row>
    <row r="388" spans="3:9" ht="13.2" x14ac:dyDescent="0.25">
      <c r="C388" s="2"/>
      <c r="D388" s="3"/>
      <c r="I388" s="4"/>
    </row>
    <row r="389" spans="3:9" ht="13.2" x14ac:dyDescent="0.25">
      <c r="C389" s="2"/>
      <c r="D389" s="3"/>
      <c r="I389" s="4"/>
    </row>
    <row r="390" spans="3:9" ht="13.2" x14ac:dyDescent="0.25">
      <c r="C390" s="2"/>
      <c r="D390" s="3"/>
      <c r="I390" s="4"/>
    </row>
    <row r="391" spans="3:9" ht="13.2" x14ac:dyDescent="0.25">
      <c r="C391" s="2"/>
      <c r="D391" s="3"/>
      <c r="I391" s="4"/>
    </row>
    <row r="392" spans="3:9" ht="13.2" x14ac:dyDescent="0.25">
      <c r="C392" s="2"/>
      <c r="D392" s="3"/>
      <c r="I392" s="4"/>
    </row>
    <row r="393" spans="3:9" ht="13.2" x14ac:dyDescent="0.25">
      <c r="C393" s="2"/>
      <c r="D393" s="3"/>
      <c r="I393" s="4"/>
    </row>
    <row r="394" spans="3:9" ht="13.2" x14ac:dyDescent="0.25">
      <c r="C394" s="2"/>
      <c r="D394" s="3"/>
      <c r="I394" s="4"/>
    </row>
    <row r="395" spans="3:9" ht="13.2" x14ac:dyDescent="0.25">
      <c r="C395" s="2"/>
      <c r="D395" s="3"/>
      <c r="I395" s="4"/>
    </row>
    <row r="396" spans="3:9" ht="13.2" x14ac:dyDescent="0.25">
      <c r="C396" s="2"/>
      <c r="D396" s="3"/>
      <c r="I396" s="4"/>
    </row>
    <row r="397" spans="3:9" ht="13.2" x14ac:dyDescent="0.25">
      <c r="C397" s="2"/>
      <c r="D397" s="3"/>
      <c r="I397" s="4"/>
    </row>
    <row r="398" spans="3:9" ht="13.2" x14ac:dyDescent="0.25">
      <c r="C398" s="2"/>
      <c r="D398" s="3"/>
      <c r="I398" s="4"/>
    </row>
    <row r="399" spans="3:9" ht="13.2" x14ac:dyDescent="0.25">
      <c r="C399" s="2"/>
      <c r="D399" s="3"/>
      <c r="I399" s="4"/>
    </row>
    <row r="400" spans="3:9" ht="13.2" x14ac:dyDescent="0.25">
      <c r="C400" s="2"/>
      <c r="D400" s="3"/>
      <c r="I400" s="4"/>
    </row>
    <row r="401" spans="3:9" ht="13.2" x14ac:dyDescent="0.25">
      <c r="C401" s="2"/>
      <c r="D401" s="3"/>
      <c r="I401" s="4"/>
    </row>
    <row r="402" spans="3:9" ht="13.2" x14ac:dyDescent="0.25">
      <c r="C402" s="2"/>
      <c r="D402" s="3"/>
      <c r="I402" s="4"/>
    </row>
    <row r="403" spans="3:9" ht="13.2" x14ac:dyDescent="0.25">
      <c r="C403" s="2"/>
      <c r="D403" s="3"/>
      <c r="I403" s="4"/>
    </row>
    <row r="404" spans="3:9" ht="13.2" x14ac:dyDescent="0.25">
      <c r="C404" s="2"/>
      <c r="D404" s="3"/>
      <c r="I404" s="4"/>
    </row>
    <row r="405" spans="3:9" ht="13.2" x14ac:dyDescent="0.25">
      <c r="C405" s="2"/>
      <c r="D405" s="3"/>
      <c r="I405" s="4"/>
    </row>
    <row r="406" spans="3:9" ht="13.2" x14ac:dyDescent="0.25">
      <c r="C406" s="2"/>
      <c r="D406" s="3"/>
      <c r="I406" s="4"/>
    </row>
    <row r="407" spans="3:9" ht="13.2" x14ac:dyDescent="0.25">
      <c r="C407" s="2"/>
      <c r="D407" s="3"/>
      <c r="I407" s="4"/>
    </row>
    <row r="408" spans="3:9" ht="13.2" x14ac:dyDescent="0.25">
      <c r="C408" s="2"/>
      <c r="D408" s="3"/>
      <c r="I408" s="4"/>
    </row>
    <row r="409" spans="3:9" ht="13.2" x14ac:dyDescent="0.25">
      <c r="C409" s="2"/>
      <c r="D409" s="3"/>
      <c r="I409" s="4"/>
    </row>
    <row r="410" spans="3:9" ht="13.2" x14ac:dyDescent="0.25">
      <c r="C410" s="2"/>
      <c r="D410" s="3"/>
      <c r="I410" s="4"/>
    </row>
    <row r="411" spans="3:9" ht="13.2" x14ac:dyDescent="0.25">
      <c r="C411" s="2"/>
      <c r="D411" s="3"/>
      <c r="I411" s="4"/>
    </row>
    <row r="412" spans="3:9" ht="13.2" x14ac:dyDescent="0.25">
      <c r="C412" s="2"/>
      <c r="D412" s="3"/>
      <c r="I412" s="4"/>
    </row>
    <row r="413" spans="3:9" ht="13.2" x14ac:dyDescent="0.25">
      <c r="C413" s="2"/>
      <c r="D413" s="3"/>
      <c r="I413" s="4"/>
    </row>
    <row r="414" spans="3:9" ht="13.2" x14ac:dyDescent="0.25">
      <c r="C414" s="2"/>
      <c r="D414" s="3"/>
      <c r="I414" s="4"/>
    </row>
    <row r="415" spans="3:9" ht="13.2" x14ac:dyDescent="0.25">
      <c r="C415" s="2"/>
      <c r="D415" s="3"/>
      <c r="I415" s="4"/>
    </row>
    <row r="416" spans="3:9" ht="13.2" x14ac:dyDescent="0.25">
      <c r="C416" s="2"/>
      <c r="D416" s="3"/>
      <c r="I416" s="4"/>
    </row>
    <row r="417" spans="3:9" ht="13.2" x14ac:dyDescent="0.25">
      <c r="C417" s="2"/>
      <c r="D417" s="3"/>
      <c r="I417" s="4"/>
    </row>
    <row r="418" spans="3:9" ht="13.2" x14ac:dyDescent="0.25">
      <c r="C418" s="2"/>
      <c r="D418" s="3"/>
      <c r="I418" s="4"/>
    </row>
    <row r="419" spans="3:9" ht="13.2" x14ac:dyDescent="0.25">
      <c r="C419" s="2"/>
      <c r="D419" s="3"/>
      <c r="I419" s="4"/>
    </row>
    <row r="420" spans="3:9" ht="13.2" x14ac:dyDescent="0.25">
      <c r="C420" s="2"/>
      <c r="D420" s="3"/>
      <c r="I420" s="4"/>
    </row>
    <row r="421" spans="3:9" ht="13.2" x14ac:dyDescent="0.25">
      <c r="C421" s="2"/>
      <c r="D421" s="3"/>
      <c r="I421" s="4"/>
    </row>
    <row r="422" spans="3:9" ht="13.2" x14ac:dyDescent="0.25">
      <c r="C422" s="2"/>
      <c r="D422" s="3"/>
      <c r="I422" s="4"/>
    </row>
    <row r="423" spans="3:9" ht="13.2" x14ac:dyDescent="0.25">
      <c r="C423" s="2"/>
      <c r="D423" s="3"/>
      <c r="I423" s="4"/>
    </row>
    <row r="424" spans="3:9" ht="13.2" x14ac:dyDescent="0.25">
      <c r="C424" s="2"/>
      <c r="D424" s="3"/>
      <c r="I424" s="4"/>
    </row>
    <row r="425" spans="3:9" ht="13.2" x14ac:dyDescent="0.25">
      <c r="C425" s="2"/>
      <c r="D425" s="3"/>
      <c r="I425" s="4"/>
    </row>
    <row r="426" spans="3:9" ht="13.2" x14ac:dyDescent="0.25">
      <c r="C426" s="2"/>
      <c r="D426" s="3"/>
      <c r="I426" s="4"/>
    </row>
    <row r="427" spans="3:9" ht="13.2" x14ac:dyDescent="0.25">
      <c r="C427" s="2"/>
      <c r="D427" s="3"/>
      <c r="I427" s="4"/>
    </row>
    <row r="428" spans="3:9" ht="13.2" x14ac:dyDescent="0.25">
      <c r="C428" s="2"/>
      <c r="D428" s="3"/>
      <c r="I428" s="4"/>
    </row>
    <row r="429" spans="3:9" ht="13.2" x14ac:dyDescent="0.25">
      <c r="C429" s="2"/>
      <c r="D429" s="3"/>
      <c r="I429" s="4"/>
    </row>
    <row r="430" spans="3:9" ht="13.2" x14ac:dyDescent="0.25">
      <c r="C430" s="2"/>
      <c r="D430" s="3"/>
      <c r="I430" s="4"/>
    </row>
    <row r="431" spans="3:9" ht="13.2" x14ac:dyDescent="0.25">
      <c r="C431" s="2"/>
      <c r="D431" s="3"/>
      <c r="I431" s="4"/>
    </row>
    <row r="432" spans="3:9" ht="13.2" x14ac:dyDescent="0.25">
      <c r="C432" s="2"/>
      <c r="D432" s="3"/>
      <c r="I432" s="4"/>
    </row>
    <row r="433" spans="3:9" ht="13.2" x14ac:dyDescent="0.25">
      <c r="C433" s="2"/>
      <c r="D433" s="3"/>
      <c r="I433" s="4"/>
    </row>
    <row r="434" spans="3:9" ht="13.2" x14ac:dyDescent="0.25">
      <c r="C434" s="2"/>
      <c r="D434" s="3"/>
      <c r="I434" s="4"/>
    </row>
    <row r="435" spans="3:9" ht="13.2" x14ac:dyDescent="0.25">
      <c r="C435" s="2"/>
      <c r="D435" s="3"/>
      <c r="I435" s="4"/>
    </row>
    <row r="436" spans="3:9" ht="13.2" x14ac:dyDescent="0.25">
      <c r="C436" s="2"/>
      <c r="D436" s="3"/>
      <c r="I436" s="4"/>
    </row>
    <row r="437" spans="3:9" ht="13.2" x14ac:dyDescent="0.25">
      <c r="C437" s="2"/>
      <c r="D437" s="3"/>
      <c r="I437" s="4"/>
    </row>
    <row r="438" spans="3:9" ht="13.2" x14ac:dyDescent="0.25">
      <c r="C438" s="2"/>
      <c r="D438" s="3"/>
      <c r="I438" s="4"/>
    </row>
    <row r="439" spans="3:9" ht="13.2" x14ac:dyDescent="0.25">
      <c r="C439" s="2"/>
      <c r="D439" s="3"/>
      <c r="I439" s="4"/>
    </row>
    <row r="440" spans="3:9" ht="13.2" x14ac:dyDescent="0.25">
      <c r="C440" s="2"/>
      <c r="D440" s="3"/>
      <c r="I440" s="4"/>
    </row>
    <row r="441" spans="3:9" ht="13.2" x14ac:dyDescent="0.25">
      <c r="C441" s="2"/>
      <c r="D441" s="3"/>
      <c r="I441" s="4"/>
    </row>
    <row r="442" spans="3:9" ht="13.2" x14ac:dyDescent="0.25">
      <c r="C442" s="2"/>
      <c r="D442" s="3"/>
      <c r="I442" s="4"/>
    </row>
    <row r="443" spans="3:9" ht="13.2" x14ac:dyDescent="0.25">
      <c r="C443" s="2"/>
      <c r="D443" s="3"/>
      <c r="I443" s="4"/>
    </row>
    <row r="444" spans="3:9" ht="13.2" x14ac:dyDescent="0.25">
      <c r="C444" s="2"/>
      <c r="D444" s="3"/>
      <c r="I444" s="4"/>
    </row>
    <row r="445" spans="3:9" ht="13.2" x14ac:dyDescent="0.25">
      <c r="C445" s="2"/>
      <c r="D445" s="3"/>
      <c r="I445" s="4"/>
    </row>
    <row r="446" spans="3:9" ht="13.2" x14ac:dyDescent="0.25">
      <c r="C446" s="2"/>
      <c r="D446" s="3"/>
      <c r="I446" s="4"/>
    </row>
    <row r="447" spans="3:9" ht="13.2" x14ac:dyDescent="0.25">
      <c r="C447" s="2"/>
      <c r="D447" s="3"/>
      <c r="I447" s="4"/>
    </row>
    <row r="448" spans="3:9" ht="13.2" x14ac:dyDescent="0.25">
      <c r="C448" s="2"/>
      <c r="D448" s="3"/>
      <c r="I448" s="4"/>
    </row>
    <row r="449" spans="3:9" ht="13.2" x14ac:dyDescent="0.25">
      <c r="C449" s="2"/>
      <c r="D449" s="3"/>
      <c r="I449" s="4"/>
    </row>
    <row r="450" spans="3:9" ht="13.2" x14ac:dyDescent="0.25">
      <c r="C450" s="2"/>
      <c r="D450" s="3"/>
      <c r="I450" s="4"/>
    </row>
    <row r="451" spans="3:9" ht="13.2" x14ac:dyDescent="0.25">
      <c r="C451" s="2"/>
      <c r="D451" s="3"/>
      <c r="I451" s="4"/>
    </row>
    <row r="452" spans="3:9" ht="13.2" x14ac:dyDescent="0.25">
      <c r="C452" s="2"/>
      <c r="D452" s="3"/>
      <c r="I452" s="4"/>
    </row>
    <row r="453" spans="3:9" ht="13.2" x14ac:dyDescent="0.25">
      <c r="C453" s="2"/>
      <c r="D453" s="3"/>
      <c r="I453" s="4"/>
    </row>
    <row r="454" spans="3:9" ht="13.2" x14ac:dyDescent="0.25">
      <c r="C454" s="2"/>
      <c r="D454" s="3"/>
      <c r="I454" s="4"/>
    </row>
    <row r="455" spans="3:9" ht="13.2" x14ac:dyDescent="0.25">
      <c r="C455" s="2"/>
      <c r="D455" s="3"/>
      <c r="I455" s="4"/>
    </row>
    <row r="456" spans="3:9" ht="13.2" x14ac:dyDescent="0.25">
      <c r="C456" s="2"/>
      <c r="D456" s="3"/>
      <c r="I456" s="4"/>
    </row>
    <row r="457" spans="3:9" ht="13.2" x14ac:dyDescent="0.25">
      <c r="C457" s="2"/>
      <c r="D457" s="3"/>
      <c r="I457" s="4"/>
    </row>
    <row r="458" spans="3:9" ht="13.2" x14ac:dyDescent="0.25">
      <c r="C458" s="2"/>
      <c r="D458" s="3"/>
      <c r="I458" s="4"/>
    </row>
    <row r="459" spans="3:9" ht="13.2" x14ac:dyDescent="0.25">
      <c r="C459" s="2"/>
      <c r="D459" s="3"/>
      <c r="I459" s="4"/>
    </row>
    <row r="460" spans="3:9" ht="13.2" x14ac:dyDescent="0.25">
      <c r="C460" s="2"/>
      <c r="D460" s="3"/>
      <c r="I460" s="4"/>
    </row>
    <row r="461" spans="3:9" ht="13.2" x14ac:dyDescent="0.25">
      <c r="C461" s="2"/>
      <c r="D461" s="3"/>
      <c r="I461" s="4"/>
    </row>
    <row r="462" spans="3:9" ht="13.2" x14ac:dyDescent="0.25">
      <c r="C462" s="2"/>
      <c r="D462" s="3"/>
      <c r="I462" s="4"/>
    </row>
    <row r="463" spans="3:9" ht="13.2" x14ac:dyDescent="0.25">
      <c r="C463" s="2"/>
      <c r="D463" s="3"/>
      <c r="I463" s="4"/>
    </row>
    <row r="464" spans="3:9" ht="13.2" x14ac:dyDescent="0.25">
      <c r="C464" s="2"/>
      <c r="D464" s="3"/>
      <c r="I464" s="4"/>
    </row>
    <row r="465" spans="3:9" ht="13.2" x14ac:dyDescent="0.25">
      <c r="C465" s="2"/>
      <c r="D465" s="3"/>
      <c r="I465" s="4"/>
    </row>
    <row r="466" spans="3:9" ht="13.2" x14ac:dyDescent="0.25">
      <c r="C466" s="2"/>
      <c r="D466" s="3"/>
      <c r="I466" s="4"/>
    </row>
    <row r="467" spans="3:9" ht="13.2" x14ac:dyDescent="0.25">
      <c r="C467" s="2"/>
      <c r="D467" s="3"/>
      <c r="I467" s="4"/>
    </row>
    <row r="468" spans="3:9" ht="13.2" x14ac:dyDescent="0.25">
      <c r="C468" s="2"/>
      <c r="D468" s="3"/>
      <c r="I468" s="4"/>
    </row>
    <row r="469" spans="3:9" ht="13.2" x14ac:dyDescent="0.25">
      <c r="C469" s="2"/>
      <c r="D469" s="3"/>
      <c r="I469" s="4"/>
    </row>
    <row r="470" spans="3:9" ht="13.2" x14ac:dyDescent="0.25">
      <c r="C470" s="2"/>
      <c r="D470" s="3"/>
      <c r="I470" s="4"/>
    </row>
    <row r="471" spans="3:9" ht="13.2" x14ac:dyDescent="0.25">
      <c r="C471" s="2"/>
      <c r="D471" s="3"/>
      <c r="I471" s="4"/>
    </row>
    <row r="472" spans="3:9" ht="13.2" x14ac:dyDescent="0.25">
      <c r="C472" s="2"/>
      <c r="D472" s="3"/>
      <c r="I472" s="4"/>
    </row>
    <row r="473" spans="3:9" ht="13.2" x14ac:dyDescent="0.25">
      <c r="C473" s="2"/>
      <c r="D473" s="3"/>
      <c r="I473" s="4"/>
    </row>
    <row r="474" spans="3:9" ht="13.2" x14ac:dyDescent="0.25">
      <c r="C474" s="2"/>
      <c r="D474" s="3"/>
      <c r="I474" s="4"/>
    </row>
    <row r="475" spans="3:9" ht="13.2" x14ac:dyDescent="0.25">
      <c r="C475" s="2"/>
      <c r="D475" s="3"/>
      <c r="I475" s="4"/>
    </row>
    <row r="476" spans="3:9" ht="13.2" x14ac:dyDescent="0.25">
      <c r="C476" s="2"/>
      <c r="D476" s="3"/>
      <c r="I476" s="4"/>
    </row>
    <row r="477" spans="3:9" ht="13.2" x14ac:dyDescent="0.25">
      <c r="C477" s="2"/>
      <c r="D477" s="3"/>
      <c r="I477" s="4"/>
    </row>
    <row r="478" spans="3:9" ht="13.2" x14ac:dyDescent="0.25">
      <c r="C478" s="2"/>
      <c r="D478" s="3"/>
      <c r="I478" s="4"/>
    </row>
    <row r="479" spans="3:9" ht="13.2" x14ac:dyDescent="0.25">
      <c r="C479" s="2"/>
      <c r="D479" s="3"/>
      <c r="I479" s="4"/>
    </row>
    <row r="480" spans="3:9" ht="13.2" x14ac:dyDescent="0.25">
      <c r="C480" s="2"/>
      <c r="D480" s="3"/>
      <c r="I480" s="4"/>
    </row>
    <row r="481" spans="3:9" ht="13.2" x14ac:dyDescent="0.25">
      <c r="C481" s="2"/>
      <c r="D481" s="3"/>
      <c r="I481" s="4"/>
    </row>
    <row r="482" spans="3:9" ht="13.2" x14ac:dyDescent="0.25">
      <c r="C482" s="2"/>
      <c r="D482" s="3"/>
      <c r="I482" s="4"/>
    </row>
    <row r="483" spans="3:9" ht="13.2" x14ac:dyDescent="0.25">
      <c r="C483" s="2"/>
      <c r="D483" s="3"/>
      <c r="I483" s="4"/>
    </row>
    <row r="484" spans="3:9" ht="13.2" x14ac:dyDescent="0.25">
      <c r="C484" s="2"/>
      <c r="D484" s="3"/>
      <c r="I484" s="4"/>
    </row>
    <row r="485" spans="3:9" ht="13.2" x14ac:dyDescent="0.25">
      <c r="C485" s="2"/>
      <c r="D485" s="3"/>
      <c r="I485" s="4"/>
    </row>
    <row r="486" spans="3:9" ht="13.2" x14ac:dyDescent="0.25">
      <c r="C486" s="2"/>
      <c r="D486" s="3"/>
      <c r="I486" s="4"/>
    </row>
    <row r="487" spans="3:9" ht="13.2" x14ac:dyDescent="0.25">
      <c r="C487" s="2"/>
      <c r="D487" s="3"/>
      <c r="I487" s="4"/>
    </row>
    <row r="488" spans="3:9" ht="13.2" x14ac:dyDescent="0.25">
      <c r="C488" s="2"/>
      <c r="D488" s="3"/>
      <c r="I488" s="4"/>
    </row>
    <row r="489" spans="3:9" ht="13.2" x14ac:dyDescent="0.25">
      <c r="C489" s="2"/>
      <c r="D489" s="3"/>
      <c r="I489" s="4"/>
    </row>
    <row r="490" spans="3:9" ht="13.2" x14ac:dyDescent="0.25">
      <c r="C490" s="2"/>
      <c r="D490" s="3"/>
      <c r="I490" s="4"/>
    </row>
    <row r="491" spans="3:9" ht="13.2" x14ac:dyDescent="0.25">
      <c r="C491" s="2"/>
      <c r="D491" s="3"/>
      <c r="I491" s="4"/>
    </row>
    <row r="492" spans="3:9" ht="13.2" x14ac:dyDescent="0.25">
      <c r="C492" s="2"/>
      <c r="D492" s="3"/>
      <c r="I492" s="4"/>
    </row>
    <row r="493" spans="3:9" ht="13.2" x14ac:dyDescent="0.25">
      <c r="C493" s="2"/>
      <c r="D493" s="3"/>
      <c r="I493" s="4"/>
    </row>
    <row r="494" spans="3:9" ht="13.2" x14ac:dyDescent="0.25">
      <c r="C494" s="2"/>
      <c r="D494" s="3"/>
      <c r="I494" s="4"/>
    </row>
    <row r="495" spans="3:9" ht="13.2" x14ac:dyDescent="0.25">
      <c r="C495" s="2"/>
      <c r="D495" s="3"/>
      <c r="I495" s="4"/>
    </row>
    <row r="496" spans="3:9" ht="13.2" x14ac:dyDescent="0.25">
      <c r="C496" s="2"/>
      <c r="D496" s="3"/>
      <c r="I496" s="4"/>
    </row>
    <row r="497" spans="3:9" ht="13.2" x14ac:dyDescent="0.25">
      <c r="C497" s="2"/>
      <c r="D497" s="3"/>
      <c r="I497" s="4"/>
    </row>
    <row r="498" spans="3:9" ht="13.2" x14ac:dyDescent="0.25">
      <c r="C498" s="2"/>
      <c r="D498" s="3"/>
      <c r="I498" s="4"/>
    </row>
    <row r="499" spans="3:9" ht="13.2" x14ac:dyDescent="0.25">
      <c r="C499" s="2"/>
      <c r="D499" s="3"/>
      <c r="I499" s="4"/>
    </row>
    <row r="500" spans="3:9" ht="13.2" x14ac:dyDescent="0.25">
      <c r="C500" s="2"/>
      <c r="D500" s="3"/>
      <c r="I500" s="4"/>
    </row>
    <row r="501" spans="3:9" ht="13.2" x14ac:dyDescent="0.25">
      <c r="C501" s="2"/>
      <c r="D501" s="3"/>
      <c r="I501" s="4"/>
    </row>
    <row r="502" spans="3:9" ht="13.2" x14ac:dyDescent="0.25">
      <c r="C502" s="2"/>
      <c r="D502" s="3"/>
      <c r="I502" s="4"/>
    </row>
    <row r="503" spans="3:9" ht="13.2" x14ac:dyDescent="0.25">
      <c r="C503" s="2"/>
      <c r="D503" s="3"/>
      <c r="I503" s="4"/>
    </row>
    <row r="504" spans="3:9" ht="13.2" x14ac:dyDescent="0.25">
      <c r="C504" s="2"/>
      <c r="D504" s="3"/>
      <c r="I504" s="4"/>
    </row>
    <row r="505" spans="3:9" ht="13.2" x14ac:dyDescent="0.25">
      <c r="C505" s="2"/>
      <c r="D505" s="3"/>
      <c r="I505" s="4"/>
    </row>
    <row r="506" spans="3:9" ht="13.2" x14ac:dyDescent="0.25">
      <c r="C506" s="2"/>
      <c r="D506" s="3"/>
      <c r="I506" s="4"/>
    </row>
    <row r="507" spans="3:9" ht="13.2" x14ac:dyDescent="0.25">
      <c r="C507" s="2"/>
      <c r="D507" s="3"/>
      <c r="I507" s="4"/>
    </row>
    <row r="508" spans="3:9" ht="13.2" x14ac:dyDescent="0.25">
      <c r="C508" s="2"/>
      <c r="D508" s="3"/>
      <c r="I508" s="4"/>
    </row>
    <row r="509" spans="3:9" ht="13.2" x14ac:dyDescent="0.25">
      <c r="C509" s="2"/>
      <c r="D509" s="3"/>
      <c r="I509" s="4"/>
    </row>
    <row r="510" spans="3:9" ht="13.2" x14ac:dyDescent="0.25">
      <c r="C510" s="2"/>
      <c r="D510" s="3"/>
      <c r="I510" s="4"/>
    </row>
    <row r="511" spans="3:9" ht="13.2" x14ac:dyDescent="0.25">
      <c r="C511" s="2"/>
      <c r="D511" s="3"/>
      <c r="I511" s="4"/>
    </row>
    <row r="512" spans="3:9" ht="13.2" x14ac:dyDescent="0.25">
      <c r="C512" s="2"/>
      <c r="D512" s="3"/>
      <c r="I512" s="4"/>
    </row>
    <row r="513" spans="3:9" ht="13.2" x14ac:dyDescent="0.25">
      <c r="C513" s="2"/>
      <c r="D513" s="3"/>
      <c r="I513" s="4"/>
    </row>
    <row r="514" spans="3:9" ht="13.2" x14ac:dyDescent="0.25">
      <c r="C514" s="2"/>
      <c r="D514" s="3"/>
      <c r="I514" s="4"/>
    </row>
    <row r="515" spans="3:9" ht="13.2" x14ac:dyDescent="0.25">
      <c r="C515" s="2"/>
      <c r="D515" s="3"/>
      <c r="I515" s="4"/>
    </row>
    <row r="516" spans="3:9" ht="13.2" x14ac:dyDescent="0.25">
      <c r="C516" s="2"/>
      <c r="D516" s="3"/>
      <c r="I516" s="4"/>
    </row>
    <row r="517" spans="3:9" ht="13.2" x14ac:dyDescent="0.25">
      <c r="C517" s="2"/>
      <c r="D517" s="3"/>
      <c r="I517" s="4"/>
    </row>
    <row r="518" spans="3:9" ht="13.2" x14ac:dyDescent="0.25">
      <c r="C518" s="2"/>
      <c r="D518" s="3"/>
      <c r="I518" s="4"/>
    </row>
    <row r="519" spans="3:9" ht="13.2" x14ac:dyDescent="0.25">
      <c r="C519" s="2"/>
      <c r="D519" s="3"/>
      <c r="I519" s="4"/>
    </row>
    <row r="520" spans="3:9" ht="13.2" x14ac:dyDescent="0.25">
      <c r="C520" s="2"/>
      <c r="D520" s="3"/>
      <c r="I520" s="4"/>
    </row>
    <row r="521" spans="3:9" ht="13.2" x14ac:dyDescent="0.25">
      <c r="C521" s="2"/>
      <c r="D521" s="3"/>
      <c r="I521" s="4"/>
    </row>
    <row r="522" spans="3:9" ht="13.2" x14ac:dyDescent="0.25">
      <c r="C522" s="2"/>
      <c r="D522" s="3"/>
      <c r="I522" s="4"/>
    </row>
    <row r="523" spans="3:9" ht="13.2" x14ac:dyDescent="0.25">
      <c r="C523" s="2"/>
      <c r="D523" s="3"/>
      <c r="I523" s="4"/>
    </row>
    <row r="524" spans="3:9" ht="13.2" x14ac:dyDescent="0.25">
      <c r="C524" s="2"/>
      <c r="D524" s="3"/>
      <c r="I524" s="4"/>
    </row>
    <row r="525" spans="3:9" ht="13.2" x14ac:dyDescent="0.25">
      <c r="C525" s="2"/>
      <c r="D525" s="3"/>
      <c r="I525" s="4"/>
    </row>
    <row r="526" spans="3:9" ht="13.2" x14ac:dyDescent="0.25">
      <c r="C526" s="2"/>
      <c r="D526" s="3"/>
      <c r="I526" s="4"/>
    </row>
    <row r="527" spans="3:9" ht="13.2" x14ac:dyDescent="0.25">
      <c r="C527" s="2"/>
      <c r="D527" s="3"/>
      <c r="I527" s="4"/>
    </row>
    <row r="528" spans="3:9" ht="13.2" x14ac:dyDescent="0.25">
      <c r="C528" s="2"/>
      <c r="D528" s="3"/>
      <c r="I528" s="4"/>
    </row>
    <row r="529" spans="3:9" ht="13.2" x14ac:dyDescent="0.25">
      <c r="C529" s="2"/>
      <c r="D529" s="3"/>
      <c r="I529" s="4"/>
    </row>
    <row r="530" spans="3:9" ht="13.2" x14ac:dyDescent="0.25">
      <c r="C530" s="2"/>
      <c r="D530" s="3"/>
      <c r="I530" s="4"/>
    </row>
    <row r="531" spans="3:9" ht="13.2" x14ac:dyDescent="0.25">
      <c r="C531" s="2"/>
      <c r="D531" s="3"/>
      <c r="I531" s="4"/>
    </row>
    <row r="532" spans="3:9" ht="13.2" x14ac:dyDescent="0.25">
      <c r="C532" s="2"/>
      <c r="D532" s="3"/>
      <c r="I532" s="4"/>
    </row>
    <row r="533" spans="3:9" ht="13.2" x14ac:dyDescent="0.25">
      <c r="C533" s="2"/>
      <c r="D533" s="3"/>
      <c r="I533" s="4"/>
    </row>
    <row r="534" spans="3:9" ht="13.2" x14ac:dyDescent="0.25">
      <c r="C534" s="2"/>
      <c r="D534" s="3"/>
      <c r="I534" s="4"/>
    </row>
    <row r="535" spans="3:9" ht="13.2" x14ac:dyDescent="0.25">
      <c r="C535" s="2"/>
      <c r="D535" s="3"/>
      <c r="I535" s="4"/>
    </row>
    <row r="536" spans="3:9" ht="13.2" x14ac:dyDescent="0.25">
      <c r="C536" s="2"/>
      <c r="D536" s="3"/>
      <c r="I536" s="4"/>
    </row>
    <row r="537" spans="3:9" ht="13.2" x14ac:dyDescent="0.25">
      <c r="C537" s="2"/>
      <c r="D537" s="3"/>
      <c r="I537" s="4"/>
    </row>
    <row r="538" spans="3:9" ht="13.2" x14ac:dyDescent="0.25">
      <c r="C538" s="2"/>
      <c r="D538" s="3"/>
      <c r="I538" s="4"/>
    </row>
    <row r="539" spans="3:9" ht="13.2" x14ac:dyDescent="0.25">
      <c r="C539" s="2"/>
      <c r="D539" s="3"/>
      <c r="I539" s="4"/>
    </row>
    <row r="540" spans="3:9" ht="13.2" x14ac:dyDescent="0.25">
      <c r="C540" s="2"/>
      <c r="D540" s="3"/>
      <c r="I540" s="4"/>
    </row>
    <row r="541" spans="3:9" ht="13.2" x14ac:dyDescent="0.25">
      <c r="C541" s="2"/>
      <c r="D541" s="3"/>
      <c r="I541" s="4"/>
    </row>
    <row r="542" spans="3:9" ht="13.2" x14ac:dyDescent="0.25">
      <c r="C542" s="2"/>
      <c r="D542" s="3"/>
      <c r="I542" s="4"/>
    </row>
    <row r="543" spans="3:9" ht="13.2" x14ac:dyDescent="0.25">
      <c r="C543" s="2"/>
      <c r="D543" s="3"/>
      <c r="I543" s="4"/>
    </row>
    <row r="544" spans="3:9" ht="13.2" x14ac:dyDescent="0.25">
      <c r="C544" s="2"/>
      <c r="D544" s="3"/>
      <c r="I544" s="4"/>
    </row>
    <row r="545" spans="3:9" ht="13.2" x14ac:dyDescent="0.25">
      <c r="C545" s="2"/>
      <c r="D545" s="3"/>
      <c r="I545" s="4"/>
    </row>
    <row r="546" spans="3:9" ht="13.2" x14ac:dyDescent="0.25">
      <c r="C546" s="2"/>
      <c r="D546" s="3"/>
      <c r="I546" s="4"/>
    </row>
    <row r="547" spans="3:9" ht="13.2" x14ac:dyDescent="0.25">
      <c r="C547" s="2"/>
      <c r="D547" s="3"/>
      <c r="I547" s="4"/>
    </row>
    <row r="548" spans="3:9" ht="13.2" x14ac:dyDescent="0.25">
      <c r="C548" s="2"/>
      <c r="D548" s="3"/>
      <c r="I548" s="4"/>
    </row>
    <row r="549" spans="3:9" ht="13.2" x14ac:dyDescent="0.25">
      <c r="C549" s="2"/>
      <c r="D549" s="3"/>
      <c r="I549" s="4"/>
    </row>
    <row r="550" spans="3:9" ht="13.2" x14ac:dyDescent="0.25">
      <c r="C550" s="2"/>
      <c r="D550" s="3"/>
      <c r="I550" s="4"/>
    </row>
    <row r="551" spans="3:9" ht="13.2" x14ac:dyDescent="0.25">
      <c r="C551" s="2"/>
      <c r="D551" s="3"/>
      <c r="I551" s="4"/>
    </row>
    <row r="552" spans="3:9" ht="13.2" x14ac:dyDescent="0.25">
      <c r="C552" s="2"/>
      <c r="D552" s="3"/>
      <c r="I552" s="4"/>
    </row>
    <row r="553" spans="3:9" ht="13.2" x14ac:dyDescent="0.25">
      <c r="C553" s="2"/>
      <c r="D553" s="3"/>
      <c r="I553" s="4"/>
    </row>
    <row r="554" spans="3:9" ht="13.2" x14ac:dyDescent="0.25">
      <c r="C554" s="2"/>
      <c r="D554" s="3"/>
      <c r="I554" s="4"/>
    </row>
    <row r="555" spans="3:9" ht="13.2" x14ac:dyDescent="0.25">
      <c r="C555" s="2"/>
      <c r="D555" s="3"/>
      <c r="I555" s="4"/>
    </row>
    <row r="556" spans="3:9" ht="13.2" x14ac:dyDescent="0.25">
      <c r="C556" s="2"/>
      <c r="D556" s="3"/>
      <c r="I556" s="4"/>
    </row>
    <row r="557" spans="3:9" ht="13.2" x14ac:dyDescent="0.25">
      <c r="C557" s="2"/>
      <c r="D557" s="3"/>
      <c r="I557" s="4"/>
    </row>
    <row r="558" spans="3:9" ht="13.2" x14ac:dyDescent="0.25">
      <c r="C558" s="2"/>
      <c r="D558" s="3"/>
      <c r="I558" s="4"/>
    </row>
    <row r="559" spans="3:9" ht="13.2" x14ac:dyDescent="0.25">
      <c r="C559" s="2"/>
      <c r="D559" s="3"/>
      <c r="I559" s="4"/>
    </row>
    <row r="560" spans="3:9" ht="13.2" x14ac:dyDescent="0.25">
      <c r="C560" s="2"/>
      <c r="D560" s="3"/>
      <c r="I560" s="4"/>
    </row>
    <row r="561" spans="3:9" ht="13.2" x14ac:dyDescent="0.25">
      <c r="C561" s="2"/>
      <c r="D561" s="3"/>
      <c r="I561" s="4"/>
    </row>
    <row r="562" spans="3:9" ht="13.2" x14ac:dyDescent="0.25">
      <c r="C562" s="2"/>
      <c r="D562" s="3"/>
      <c r="I562" s="4"/>
    </row>
    <row r="563" spans="3:9" ht="13.2" x14ac:dyDescent="0.25">
      <c r="C563" s="2"/>
      <c r="D563" s="3"/>
      <c r="I563" s="4"/>
    </row>
    <row r="564" spans="3:9" ht="13.2" x14ac:dyDescent="0.25">
      <c r="C564" s="2"/>
      <c r="D564" s="3"/>
      <c r="I564" s="4"/>
    </row>
    <row r="565" spans="3:9" ht="13.2" x14ac:dyDescent="0.25">
      <c r="C565" s="2"/>
      <c r="D565" s="3"/>
      <c r="I565" s="4"/>
    </row>
    <row r="566" spans="3:9" ht="13.2" x14ac:dyDescent="0.25">
      <c r="C566" s="2"/>
      <c r="D566" s="3"/>
      <c r="I566" s="4"/>
    </row>
    <row r="567" spans="3:9" ht="13.2" x14ac:dyDescent="0.25">
      <c r="C567" s="2"/>
      <c r="D567" s="3"/>
      <c r="I567" s="4"/>
    </row>
    <row r="568" spans="3:9" ht="13.2" x14ac:dyDescent="0.25">
      <c r="C568" s="2"/>
      <c r="D568" s="3"/>
      <c r="I568" s="4"/>
    </row>
    <row r="569" spans="3:9" ht="13.2" x14ac:dyDescent="0.25">
      <c r="C569" s="2"/>
      <c r="D569" s="3"/>
      <c r="I569" s="4"/>
    </row>
    <row r="570" spans="3:9" ht="13.2" x14ac:dyDescent="0.25">
      <c r="C570" s="2"/>
      <c r="D570" s="3"/>
      <c r="I570" s="4"/>
    </row>
    <row r="571" spans="3:9" ht="13.2" x14ac:dyDescent="0.25">
      <c r="C571" s="2"/>
      <c r="D571" s="3"/>
      <c r="I571" s="4"/>
    </row>
    <row r="572" spans="3:9" ht="13.2" x14ac:dyDescent="0.25">
      <c r="C572" s="2"/>
      <c r="D572" s="3"/>
      <c r="I572" s="4"/>
    </row>
    <row r="573" spans="3:9" ht="13.2" x14ac:dyDescent="0.25">
      <c r="C573" s="2"/>
      <c r="D573" s="3"/>
      <c r="I573" s="4"/>
    </row>
    <row r="574" spans="3:9" ht="13.2" x14ac:dyDescent="0.25">
      <c r="C574" s="2"/>
      <c r="D574" s="3"/>
      <c r="I574" s="4"/>
    </row>
    <row r="575" spans="3:9" ht="13.2" x14ac:dyDescent="0.25">
      <c r="C575" s="2"/>
      <c r="D575" s="3"/>
      <c r="I575" s="4"/>
    </row>
    <row r="576" spans="3:9" ht="13.2" x14ac:dyDescent="0.25">
      <c r="C576" s="2"/>
      <c r="D576" s="3"/>
      <c r="I576" s="4"/>
    </row>
    <row r="577" spans="3:9" ht="13.2" x14ac:dyDescent="0.25">
      <c r="C577" s="2"/>
      <c r="D577" s="3"/>
      <c r="I577" s="4"/>
    </row>
    <row r="578" spans="3:9" ht="13.2" x14ac:dyDescent="0.25">
      <c r="C578" s="2"/>
      <c r="D578" s="3"/>
      <c r="I578" s="4"/>
    </row>
    <row r="579" spans="3:9" ht="13.2" x14ac:dyDescent="0.25">
      <c r="C579" s="2"/>
      <c r="D579" s="3"/>
      <c r="I579" s="4"/>
    </row>
    <row r="580" spans="3:9" ht="13.2" x14ac:dyDescent="0.25">
      <c r="C580" s="2"/>
      <c r="D580" s="3"/>
      <c r="I580" s="4"/>
    </row>
    <row r="581" spans="3:9" ht="13.2" x14ac:dyDescent="0.25">
      <c r="C581" s="2"/>
      <c r="D581" s="3"/>
      <c r="I581" s="4"/>
    </row>
    <row r="582" spans="3:9" ht="13.2" x14ac:dyDescent="0.25">
      <c r="C582" s="2"/>
      <c r="D582" s="3"/>
      <c r="I582" s="4"/>
    </row>
    <row r="583" spans="3:9" ht="13.2" x14ac:dyDescent="0.25">
      <c r="C583" s="2"/>
      <c r="D583" s="3"/>
      <c r="I583" s="4"/>
    </row>
    <row r="584" spans="3:9" ht="13.2" x14ac:dyDescent="0.25">
      <c r="C584" s="2"/>
      <c r="D584" s="3"/>
      <c r="I584" s="4"/>
    </row>
    <row r="585" spans="3:9" ht="13.2" x14ac:dyDescent="0.25">
      <c r="C585" s="2"/>
      <c r="D585" s="3"/>
      <c r="I585" s="4"/>
    </row>
    <row r="586" spans="3:9" ht="13.2" x14ac:dyDescent="0.25">
      <c r="C586" s="2"/>
      <c r="D586" s="3"/>
      <c r="I586" s="4"/>
    </row>
    <row r="587" spans="3:9" ht="13.2" x14ac:dyDescent="0.25">
      <c r="C587" s="2"/>
      <c r="D587" s="3"/>
      <c r="I587" s="4"/>
    </row>
    <row r="588" spans="3:9" ht="13.2" x14ac:dyDescent="0.25">
      <c r="C588" s="2"/>
      <c r="D588" s="3"/>
      <c r="I588" s="4"/>
    </row>
    <row r="589" spans="3:9" ht="13.2" x14ac:dyDescent="0.25">
      <c r="C589" s="2"/>
      <c r="D589" s="3"/>
      <c r="I589" s="4"/>
    </row>
    <row r="590" spans="3:9" ht="13.2" x14ac:dyDescent="0.25">
      <c r="C590" s="2"/>
      <c r="D590" s="3"/>
      <c r="I590" s="4"/>
    </row>
    <row r="591" spans="3:9" ht="13.2" x14ac:dyDescent="0.25">
      <c r="C591" s="2"/>
      <c r="D591" s="3"/>
      <c r="I591" s="4"/>
    </row>
    <row r="592" spans="3:9" ht="13.2" x14ac:dyDescent="0.25">
      <c r="C592" s="2"/>
      <c r="D592" s="3"/>
      <c r="I592" s="4"/>
    </row>
    <row r="593" spans="3:9" ht="13.2" x14ac:dyDescent="0.25">
      <c r="C593" s="2"/>
      <c r="D593" s="3"/>
      <c r="I593" s="4"/>
    </row>
    <row r="594" spans="3:9" ht="13.2" x14ac:dyDescent="0.25">
      <c r="C594" s="2"/>
      <c r="D594" s="3"/>
      <c r="I594" s="4"/>
    </row>
    <row r="595" spans="3:9" ht="13.2" x14ac:dyDescent="0.25">
      <c r="C595" s="2"/>
      <c r="D595" s="3"/>
      <c r="I595" s="4"/>
    </row>
    <row r="596" spans="3:9" ht="13.2" x14ac:dyDescent="0.25">
      <c r="C596" s="2"/>
      <c r="D596" s="3"/>
      <c r="I596" s="4"/>
    </row>
    <row r="597" spans="3:9" ht="13.2" x14ac:dyDescent="0.25">
      <c r="C597" s="2"/>
      <c r="D597" s="3"/>
      <c r="I597" s="4"/>
    </row>
    <row r="598" spans="3:9" ht="13.2" x14ac:dyDescent="0.25">
      <c r="C598" s="2"/>
      <c r="D598" s="3"/>
      <c r="I598" s="4"/>
    </row>
    <row r="599" spans="3:9" ht="13.2" x14ac:dyDescent="0.25">
      <c r="C599" s="2"/>
      <c r="D599" s="3"/>
      <c r="I599" s="4"/>
    </row>
    <row r="600" spans="3:9" ht="13.2" x14ac:dyDescent="0.25">
      <c r="C600" s="2"/>
      <c r="D600" s="3"/>
      <c r="I600" s="4"/>
    </row>
    <row r="601" spans="3:9" ht="13.2" x14ac:dyDescent="0.25">
      <c r="C601" s="2"/>
      <c r="D601" s="3"/>
      <c r="I601" s="4"/>
    </row>
    <row r="602" spans="3:9" ht="13.2" x14ac:dyDescent="0.25">
      <c r="C602" s="2"/>
      <c r="D602" s="3"/>
      <c r="I602" s="4"/>
    </row>
    <row r="603" spans="3:9" ht="13.2" x14ac:dyDescent="0.25">
      <c r="C603" s="2"/>
      <c r="D603" s="3"/>
      <c r="I603" s="4"/>
    </row>
    <row r="604" spans="3:9" ht="13.2" x14ac:dyDescent="0.25">
      <c r="C604" s="2"/>
      <c r="D604" s="3"/>
      <c r="I604" s="4"/>
    </row>
    <row r="605" spans="3:9" ht="13.2" x14ac:dyDescent="0.25">
      <c r="C605" s="2"/>
      <c r="D605" s="3"/>
      <c r="I605" s="4"/>
    </row>
    <row r="606" spans="3:9" ht="13.2" x14ac:dyDescent="0.25">
      <c r="C606" s="2"/>
      <c r="D606" s="3"/>
      <c r="I606" s="4"/>
    </row>
    <row r="607" spans="3:9" ht="13.2" x14ac:dyDescent="0.25">
      <c r="C607" s="2"/>
      <c r="D607" s="3"/>
      <c r="I607" s="4"/>
    </row>
    <row r="608" spans="3:9" ht="13.2" x14ac:dyDescent="0.25">
      <c r="C608" s="2"/>
      <c r="D608" s="3"/>
      <c r="I608" s="4"/>
    </row>
    <row r="609" spans="3:9" ht="13.2" x14ac:dyDescent="0.25">
      <c r="C609" s="2"/>
      <c r="D609" s="3"/>
      <c r="I609" s="4"/>
    </row>
    <row r="610" spans="3:9" ht="13.2" x14ac:dyDescent="0.25">
      <c r="C610" s="2"/>
      <c r="D610" s="3"/>
      <c r="I610" s="4"/>
    </row>
    <row r="611" spans="3:9" ht="13.2" x14ac:dyDescent="0.25">
      <c r="C611" s="2"/>
      <c r="D611" s="3"/>
      <c r="I611" s="4"/>
    </row>
    <row r="612" spans="3:9" ht="13.2" x14ac:dyDescent="0.25">
      <c r="C612" s="2"/>
      <c r="D612" s="3"/>
      <c r="I612" s="4"/>
    </row>
    <row r="613" spans="3:9" ht="13.2" x14ac:dyDescent="0.25">
      <c r="C613" s="2"/>
      <c r="D613" s="3"/>
      <c r="I613" s="4"/>
    </row>
    <row r="614" spans="3:9" ht="13.2" x14ac:dyDescent="0.25">
      <c r="C614" s="2"/>
      <c r="D614" s="3"/>
      <c r="I614" s="4"/>
    </row>
    <row r="615" spans="3:9" ht="13.2" x14ac:dyDescent="0.25">
      <c r="C615" s="2"/>
      <c r="D615" s="3"/>
      <c r="I615" s="4"/>
    </row>
    <row r="616" spans="3:9" ht="13.2" x14ac:dyDescent="0.25">
      <c r="C616" s="2"/>
      <c r="D616" s="3"/>
      <c r="I616" s="4"/>
    </row>
    <row r="617" spans="3:9" ht="13.2" x14ac:dyDescent="0.25">
      <c r="C617" s="2"/>
      <c r="D617" s="3"/>
      <c r="I617" s="4"/>
    </row>
    <row r="618" spans="3:9" ht="13.2" x14ac:dyDescent="0.25">
      <c r="C618" s="2"/>
      <c r="D618" s="3"/>
      <c r="I618" s="4"/>
    </row>
    <row r="619" spans="3:9" ht="13.2" x14ac:dyDescent="0.25">
      <c r="C619" s="2"/>
      <c r="D619" s="3"/>
      <c r="I619" s="4"/>
    </row>
    <row r="620" spans="3:9" ht="13.2" x14ac:dyDescent="0.25">
      <c r="C620" s="2"/>
      <c r="D620" s="3"/>
      <c r="I620" s="4"/>
    </row>
    <row r="621" spans="3:9" ht="13.2" x14ac:dyDescent="0.25">
      <c r="C621" s="2"/>
      <c r="D621" s="3"/>
      <c r="I621" s="4"/>
    </row>
    <row r="622" spans="3:9" ht="13.2" x14ac:dyDescent="0.25">
      <c r="C622" s="2"/>
      <c r="D622" s="3"/>
      <c r="I622" s="4"/>
    </row>
    <row r="623" spans="3:9" ht="13.2" x14ac:dyDescent="0.25">
      <c r="C623" s="2"/>
      <c r="D623" s="3"/>
      <c r="I623" s="4"/>
    </row>
    <row r="624" spans="3:9" ht="13.2" x14ac:dyDescent="0.25">
      <c r="C624" s="2"/>
      <c r="D624" s="3"/>
      <c r="I624" s="4"/>
    </row>
    <row r="625" spans="3:9" ht="13.2" x14ac:dyDescent="0.25">
      <c r="C625" s="2"/>
      <c r="D625" s="3"/>
      <c r="I625" s="4"/>
    </row>
    <row r="626" spans="3:9" ht="13.2" x14ac:dyDescent="0.25">
      <c r="C626" s="2"/>
      <c r="D626" s="3"/>
      <c r="I626" s="4"/>
    </row>
    <row r="627" spans="3:9" ht="13.2" x14ac:dyDescent="0.25">
      <c r="C627" s="2"/>
      <c r="D627" s="3"/>
      <c r="I627" s="4"/>
    </row>
    <row r="628" spans="3:9" ht="13.2" x14ac:dyDescent="0.25">
      <c r="C628" s="2"/>
      <c r="D628" s="3"/>
      <c r="I628" s="4"/>
    </row>
    <row r="629" spans="3:9" ht="13.2" x14ac:dyDescent="0.25">
      <c r="C629" s="2"/>
      <c r="D629" s="3"/>
      <c r="I629" s="4"/>
    </row>
    <row r="630" spans="3:9" ht="13.2" x14ac:dyDescent="0.25">
      <c r="C630" s="2"/>
      <c r="D630" s="3"/>
      <c r="I630" s="4"/>
    </row>
    <row r="631" spans="3:9" ht="13.2" x14ac:dyDescent="0.25">
      <c r="C631" s="2"/>
      <c r="D631" s="3"/>
      <c r="I631" s="4"/>
    </row>
    <row r="632" spans="3:9" ht="13.2" x14ac:dyDescent="0.25">
      <c r="C632" s="2"/>
      <c r="D632" s="3"/>
      <c r="I632" s="4"/>
    </row>
    <row r="633" spans="3:9" ht="13.2" x14ac:dyDescent="0.25">
      <c r="C633" s="2"/>
      <c r="D633" s="3"/>
      <c r="I633" s="4"/>
    </row>
    <row r="634" spans="3:9" ht="13.2" x14ac:dyDescent="0.25">
      <c r="C634" s="2"/>
      <c r="D634" s="3"/>
      <c r="I634" s="4"/>
    </row>
    <row r="635" spans="3:9" ht="13.2" x14ac:dyDescent="0.25">
      <c r="C635" s="2"/>
      <c r="D635" s="3"/>
      <c r="I635" s="4"/>
    </row>
    <row r="636" spans="3:9" ht="13.2" x14ac:dyDescent="0.25">
      <c r="C636" s="2"/>
      <c r="D636" s="3"/>
      <c r="I636" s="4"/>
    </row>
    <row r="637" spans="3:9" ht="13.2" x14ac:dyDescent="0.25">
      <c r="C637" s="2"/>
      <c r="D637" s="3"/>
      <c r="I637" s="4"/>
    </row>
    <row r="638" spans="3:9" ht="13.2" x14ac:dyDescent="0.25">
      <c r="C638" s="2"/>
      <c r="D638" s="3"/>
      <c r="I638" s="4"/>
    </row>
    <row r="639" spans="3:9" ht="13.2" x14ac:dyDescent="0.25">
      <c r="C639" s="2"/>
      <c r="D639" s="3"/>
      <c r="I639" s="4"/>
    </row>
    <row r="640" spans="3:9" ht="13.2" x14ac:dyDescent="0.25">
      <c r="C640" s="2"/>
      <c r="D640" s="3"/>
      <c r="I640" s="4"/>
    </row>
    <row r="641" spans="3:9" ht="13.2" x14ac:dyDescent="0.25">
      <c r="C641" s="2"/>
      <c r="D641" s="3"/>
      <c r="I641" s="4"/>
    </row>
    <row r="642" spans="3:9" ht="13.2" x14ac:dyDescent="0.25">
      <c r="C642" s="2"/>
      <c r="D642" s="3"/>
      <c r="I642" s="4"/>
    </row>
    <row r="643" spans="3:9" ht="13.2" x14ac:dyDescent="0.25">
      <c r="C643" s="2"/>
      <c r="D643" s="3"/>
      <c r="I643" s="4"/>
    </row>
    <row r="644" spans="3:9" ht="13.2" x14ac:dyDescent="0.25">
      <c r="C644" s="2"/>
      <c r="D644" s="3"/>
      <c r="I644" s="4"/>
    </row>
    <row r="645" spans="3:9" ht="13.2" x14ac:dyDescent="0.25">
      <c r="C645" s="2"/>
      <c r="D645" s="3"/>
      <c r="I645" s="4"/>
    </row>
    <row r="646" spans="3:9" ht="13.2" x14ac:dyDescent="0.25">
      <c r="C646" s="2"/>
      <c r="D646" s="3"/>
      <c r="I646" s="4"/>
    </row>
    <row r="647" spans="3:9" ht="13.2" x14ac:dyDescent="0.25">
      <c r="C647" s="2"/>
      <c r="D647" s="3"/>
      <c r="I647" s="4"/>
    </row>
    <row r="648" spans="3:9" ht="13.2" x14ac:dyDescent="0.25">
      <c r="C648" s="2"/>
      <c r="D648" s="3"/>
      <c r="I648" s="4"/>
    </row>
    <row r="649" spans="3:9" ht="13.2" x14ac:dyDescent="0.25">
      <c r="C649" s="2"/>
      <c r="D649" s="3"/>
      <c r="I649" s="4"/>
    </row>
    <row r="650" spans="3:9" ht="13.2" x14ac:dyDescent="0.25">
      <c r="C650" s="2"/>
      <c r="D650" s="3"/>
      <c r="I650" s="4"/>
    </row>
    <row r="651" spans="3:9" ht="13.2" x14ac:dyDescent="0.25">
      <c r="C651" s="2"/>
      <c r="D651" s="3"/>
      <c r="I651" s="4"/>
    </row>
    <row r="652" spans="3:9" ht="13.2" x14ac:dyDescent="0.25">
      <c r="C652" s="2"/>
      <c r="D652" s="3"/>
      <c r="I652" s="4"/>
    </row>
    <row r="653" spans="3:9" ht="13.2" x14ac:dyDescent="0.25">
      <c r="C653" s="2"/>
      <c r="D653" s="3"/>
      <c r="I653" s="4"/>
    </row>
    <row r="654" spans="3:9" ht="13.2" x14ac:dyDescent="0.25">
      <c r="C654" s="2"/>
      <c r="D654" s="3"/>
      <c r="I654" s="4"/>
    </row>
    <row r="655" spans="3:9" ht="13.2" x14ac:dyDescent="0.25">
      <c r="C655" s="2"/>
      <c r="D655" s="3"/>
      <c r="I655" s="4"/>
    </row>
    <row r="656" spans="3:9" ht="13.2" x14ac:dyDescent="0.25">
      <c r="C656" s="2"/>
      <c r="D656" s="3"/>
      <c r="I656" s="4"/>
    </row>
    <row r="657" spans="3:9" ht="13.2" x14ac:dyDescent="0.25">
      <c r="C657" s="2"/>
      <c r="D657" s="3"/>
      <c r="I657" s="4"/>
    </row>
    <row r="658" spans="3:9" ht="13.2" x14ac:dyDescent="0.25">
      <c r="C658" s="2"/>
      <c r="D658" s="3"/>
      <c r="I658" s="4"/>
    </row>
    <row r="659" spans="3:9" ht="13.2" x14ac:dyDescent="0.25">
      <c r="C659" s="2"/>
      <c r="D659" s="3"/>
      <c r="I659" s="4"/>
    </row>
    <row r="660" spans="3:9" ht="13.2" x14ac:dyDescent="0.25">
      <c r="C660" s="2"/>
      <c r="D660" s="3"/>
      <c r="I660" s="4"/>
    </row>
    <row r="661" spans="3:9" ht="13.2" x14ac:dyDescent="0.25">
      <c r="C661" s="2"/>
      <c r="D661" s="3"/>
      <c r="I661" s="4"/>
    </row>
    <row r="662" spans="3:9" ht="13.2" x14ac:dyDescent="0.25">
      <c r="C662" s="2"/>
      <c r="D662" s="3"/>
      <c r="I662" s="4"/>
    </row>
    <row r="663" spans="3:9" ht="13.2" x14ac:dyDescent="0.25">
      <c r="C663" s="2"/>
      <c r="D663" s="3"/>
      <c r="I663" s="4"/>
    </row>
    <row r="664" spans="3:9" ht="13.2" x14ac:dyDescent="0.25">
      <c r="C664" s="2"/>
      <c r="D664" s="3"/>
      <c r="I664" s="4"/>
    </row>
    <row r="665" spans="3:9" ht="13.2" x14ac:dyDescent="0.25">
      <c r="C665" s="2"/>
      <c r="D665" s="3"/>
      <c r="I665" s="4"/>
    </row>
    <row r="666" spans="3:9" ht="13.2" x14ac:dyDescent="0.25">
      <c r="C666" s="2"/>
      <c r="D666" s="3"/>
      <c r="I666" s="4"/>
    </row>
    <row r="667" spans="3:9" ht="13.2" x14ac:dyDescent="0.25">
      <c r="C667" s="2"/>
      <c r="D667" s="3"/>
      <c r="I667" s="4"/>
    </row>
    <row r="668" spans="3:9" ht="13.2" x14ac:dyDescent="0.25">
      <c r="C668" s="2"/>
      <c r="D668" s="3"/>
      <c r="I668" s="4"/>
    </row>
    <row r="669" spans="3:9" ht="13.2" x14ac:dyDescent="0.25">
      <c r="C669" s="2"/>
      <c r="D669" s="3"/>
      <c r="I669" s="4"/>
    </row>
    <row r="670" spans="3:9" ht="13.2" x14ac:dyDescent="0.25">
      <c r="C670" s="2"/>
      <c r="D670" s="3"/>
      <c r="I670" s="4"/>
    </row>
    <row r="671" spans="3:9" ht="13.2" x14ac:dyDescent="0.25">
      <c r="C671" s="2"/>
      <c r="D671" s="3"/>
      <c r="I671" s="4"/>
    </row>
    <row r="672" spans="3:9" ht="13.2" x14ac:dyDescent="0.25">
      <c r="C672" s="2"/>
      <c r="D672" s="3"/>
      <c r="I672" s="4"/>
    </row>
    <row r="673" spans="3:9" ht="13.2" x14ac:dyDescent="0.25">
      <c r="C673" s="2"/>
      <c r="D673" s="3"/>
      <c r="I673" s="4"/>
    </row>
    <row r="674" spans="3:9" ht="13.2" x14ac:dyDescent="0.25">
      <c r="C674" s="2"/>
      <c r="D674" s="3"/>
      <c r="I674" s="4"/>
    </row>
    <row r="675" spans="3:9" ht="13.2" x14ac:dyDescent="0.25">
      <c r="C675" s="2"/>
      <c r="D675" s="3"/>
      <c r="I675" s="4"/>
    </row>
    <row r="676" spans="3:9" ht="13.2" x14ac:dyDescent="0.25">
      <c r="C676" s="2"/>
      <c r="D676" s="3"/>
      <c r="I676" s="4"/>
    </row>
    <row r="677" spans="3:9" ht="13.2" x14ac:dyDescent="0.25">
      <c r="C677" s="2"/>
      <c r="D677" s="3"/>
      <c r="I677" s="4"/>
    </row>
    <row r="678" spans="3:9" ht="13.2" x14ac:dyDescent="0.25">
      <c r="C678" s="2"/>
      <c r="D678" s="3"/>
      <c r="I678" s="4"/>
    </row>
    <row r="679" spans="3:9" ht="13.2" x14ac:dyDescent="0.25">
      <c r="C679" s="2"/>
      <c r="D679" s="3"/>
      <c r="I679" s="4"/>
    </row>
    <row r="680" spans="3:9" ht="13.2" x14ac:dyDescent="0.25">
      <c r="C680" s="2"/>
      <c r="D680" s="3"/>
      <c r="I680" s="4"/>
    </row>
    <row r="681" spans="3:9" ht="13.2" x14ac:dyDescent="0.25">
      <c r="C681" s="2"/>
      <c r="D681" s="3"/>
      <c r="I681" s="4"/>
    </row>
    <row r="682" spans="3:9" ht="13.2" x14ac:dyDescent="0.25">
      <c r="C682" s="2"/>
      <c r="D682" s="3"/>
      <c r="I682" s="4"/>
    </row>
    <row r="683" spans="3:9" ht="13.2" x14ac:dyDescent="0.25">
      <c r="C683" s="2"/>
      <c r="D683" s="3"/>
      <c r="I683" s="4"/>
    </row>
    <row r="684" spans="3:9" ht="13.2" x14ac:dyDescent="0.25">
      <c r="C684" s="2"/>
      <c r="D684" s="3"/>
      <c r="I684" s="4"/>
    </row>
    <row r="685" spans="3:9" ht="13.2" x14ac:dyDescent="0.25">
      <c r="C685" s="2"/>
      <c r="D685" s="3"/>
      <c r="I685" s="4"/>
    </row>
    <row r="686" spans="3:9" ht="13.2" x14ac:dyDescent="0.25">
      <c r="C686" s="2"/>
      <c r="D686" s="3"/>
      <c r="I686" s="4"/>
    </row>
    <row r="687" spans="3:9" ht="13.2" x14ac:dyDescent="0.25">
      <c r="C687" s="2"/>
      <c r="D687" s="3"/>
      <c r="I687" s="4"/>
    </row>
    <row r="688" spans="3:9" ht="13.2" x14ac:dyDescent="0.25">
      <c r="C688" s="2"/>
      <c r="D688" s="3"/>
      <c r="I688" s="4"/>
    </row>
    <row r="689" spans="3:9" ht="13.2" x14ac:dyDescent="0.25">
      <c r="C689" s="2"/>
      <c r="D689" s="3"/>
      <c r="I689" s="4"/>
    </row>
    <row r="690" spans="3:9" ht="13.2" x14ac:dyDescent="0.25">
      <c r="C690" s="2"/>
      <c r="D690" s="3"/>
      <c r="I690" s="4"/>
    </row>
    <row r="691" spans="3:9" ht="13.2" x14ac:dyDescent="0.25">
      <c r="C691" s="2"/>
      <c r="D691" s="3"/>
      <c r="I691" s="4"/>
    </row>
    <row r="692" spans="3:9" ht="13.2" x14ac:dyDescent="0.25">
      <c r="C692" s="2"/>
      <c r="D692" s="3"/>
      <c r="I692" s="4"/>
    </row>
    <row r="693" spans="3:9" ht="13.2" x14ac:dyDescent="0.25">
      <c r="C693" s="2"/>
      <c r="D693" s="3"/>
      <c r="I693" s="4"/>
    </row>
    <row r="694" spans="3:9" ht="13.2" x14ac:dyDescent="0.25">
      <c r="C694" s="2"/>
      <c r="D694" s="3"/>
      <c r="I694" s="4"/>
    </row>
    <row r="695" spans="3:9" ht="13.2" x14ac:dyDescent="0.25">
      <c r="C695" s="2"/>
      <c r="D695" s="3"/>
      <c r="I695" s="4"/>
    </row>
    <row r="696" spans="3:9" ht="13.2" x14ac:dyDescent="0.25">
      <c r="C696" s="2"/>
      <c r="D696" s="3"/>
      <c r="I696" s="4"/>
    </row>
    <row r="697" spans="3:9" ht="13.2" x14ac:dyDescent="0.25">
      <c r="C697" s="2"/>
      <c r="D697" s="3"/>
      <c r="I697" s="4"/>
    </row>
    <row r="698" spans="3:9" ht="13.2" x14ac:dyDescent="0.25">
      <c r="C698" s="2"/>
      <c r="D698" s="3"/>
      <c r="I698" s="4"/>
    </row>
    <row r="699" spans="3:9" ht="13.2" x14ac:dyDescent="0.25">
      <c r="C699" s="2"/>
      <c r="D699" s="3"/>
      <c r="I699" s="4"/>
    </row>
    <row r="700" spans="3:9" ht="13.2" x14ac:dyDescent="0.25">
      <c r="C700" s="2"/>
      <c r="D700" s="3"/>
      <c r="I700" s="4"/>
    </row>
    <row r="701" spans="3:9" ht="13.2" x14ac:dyDescent="0.25">
      <c r="C701" s="2"/>
      <c r="D701" s="3"/>
      <c r="I701" s="4"/>
    </row>
    <row r="702" spans="3:9" ht="13.2" x14ac:dyDescent="0.25">
      <c r="C702" s="2"/>
      <c r="D702" s="3"/>
      <c r="I702" s="4"/>
    </row>
    <row r="703" spans="3:9" ht="13.2" x14ac:dyDescent="0.25">
      <c r="C703" s="2"/>
      <c r="D703" s="3"/>
      <c r="I703" s="4"/>
    </row>
    <row r="704" spans="3:9" ht="13.2" x14ac:dyDescent="0.25">
      <c r="C704" s="2"/>
      <c r="D704" s="3"/>
      <c r="I704" s="4"/>
    </row>
    <row r="705" spans="3:9" ht="13.2" x14ac:dyDescent="0.25">
      <c r="C705" s="2"/>
      <c r="D705" s="3"/>
      <c r="I705" s="4"/>
    </row>
    <row r="706" spans="3:9" ht="13.2" x14ac:dyDescent="0.25">
      <c r="C706" s="2"/>
      <c r="D706" s="3"/>
      <c r="I706" s="4"/>
    </row>
    <row r="707" spans="3:9" ht="13.2" x14ac:dyDescent="0.25">
      <c r="C707" s="2"/>
      <c r="D707" s="3"/>
      <c r="I707" s="4"/>
    </row>
    <row r="708" spans="3:9" ht="13.2" x14ac:dyDescent="0.25">
      <c r="C708" s="2"/>
      <c r="D708" s="3"/>
      <c r="I708" s="4"/>
    </row>
    <row r="709" spans="3:9" ht="13.2" x14ac:dyDescent="0.25">
      <c r="C709" s="2"/>
      <c r="D709" s="3"/>
      <c r="I709" s="4"/>
    </row>
    <row r="710" spans="3:9" ht="13.2" x14ac:dyDescent="0.25">
      <c r="C710" s="2"/>
      <c r="D710" s="3"/>
      <c r="I710" s="4"/>
    </row>
    <row r="711" spans="3:9" ht="13.2" x14ac:dyDescent="0.25">
      <c r="C711" s="2"/>
      <c r="D711" s="3"/>
      <c r="I711" s="4"/>
    </row>
    <row r="712" spans="3:9" ht="13.2" x14ac:dyDescent="0.25">
      <c r="C712" s="2"/>
      <c r="D712" s="3"/>
      <c r="I712" s="4"/>
    </row>
    <row r="713" spans="3:9" ht="13.2" x14ac:dyDescent="0.25">
      <c r="C713" s="2"/>
      <c r="D713" s="3"/>
      <c r="I713" s="4"/>
    </row>
    <row r="714" spans="3:9" ht="13.2" x14ac:dyDescent="0.25">
      <c r="C714" s="2"/>
      <c r="D714" s="3"/>
      <c r="I714" s="4"/>
    </row>
    <row r="715" spans="3:9" ht="13.2" x14ac:dyDescent="0.25">
      <c r="C715" s="2"/>
      <c r="D715" s="3"/>
      <c r="I715" s="4"/>
    </row>
    <row r="716" spans="3:9" ht="13.2" x14ac:dyDescent="0.25">
      <c r="C716" s="2"/>
      <c r="D716" s="3"/>
      <c r="I716" s="4"/>
    </row>
    <row r="717" spans="3:9" ht="13.2" x14ac:dyDescent="0.25">
      <c r="C717" s="2"/>
      <c r="D717" s="3"/>
      <c r="I717" s="4"/>
    </row>
    <row r="718" spans="3:9" ht="13.2" x14ac:dyDescent="0.25">
      <c r="C718" s="2"/>
      <c r="D718" s="3"/>
      <c r="I718" s="4"/>
    </row>
    <row r="719" spans="3:9" ht="13.2" x14ac:dyDescent="0.25">
      <c r="C719" s="2"/>
      <c r="D719" s="3"/>
      <c r="I719" s="4"/>
    </row>
    <row r="720" spans="3:9" ht="13.2" x14ac:dyDescent="0.25">
      <c r="C720" s="2"/>
      <c r="D720" s="3"/>
      <c r="I720" s="4"/>
    </row>
    <row r="721" spans="3:9" ht="13.2" x14ac:dyDescent="0.25">
      <c r="C721" s="2"/>
      <c r="D721" s="3"/>
      <c r="I721" s="4"/>
    </row>
    <row r="722" spans="3:9" ht="13.2" x14ac:dyDescent="0.25">
      <c r="C722" s="2"/>
      <c r="D722" s="3"/>
      <c r="I722" s="4"/>
    </row>
    <row r="723" spans="3:9" ht="13.2" x14ac:dyDescent="0.25">
      <c r="C723" s="2"/>
      <c r="D723" s="3"/>
      <c r="I723" s="4"/>
    </row>
    <row r="724" spans="3:9" ht="13.2" x14ac:dyDescent="0.25">
      <c r="C724" s="2"/>
      <c r="D724" s="3"/>
      <c r="I724" s="4"/>
    </row>
    <row r="725" spans="3:9" ht="13.2" x14ac:dyDescent="0.25">
      <c r="C725" s="2"/>
      <c r="D725" s="3"/>
      <c r="I725" s="4"/>
    </row>
    <row r="726" spans="3:9" ht="13.2" x14ac:dyDescent="0.25">
      <c r="C726" s="2"/>
      <c r="D726" s="3"/>
      <c r="I726" s="4"/>
    </row>
    <row r="727" spans="3:9" ht="13.2" x14ac:dyDescent="0.25">
      <c r="C727" s="2"/>
      <c r="D727" s="3"/>
      <c r="I727" s="4"/>
    </row>
    <row r="728" spans="3:9" ht="13.2" x14ac:dyDescent="0.25">
      <c r="C728" s="2"/>
      <c r="D728" s="3"/>
      <c r="I728" s="4"/>
    </row>
    <row r="729" spans="3:9" ht="13.2" x14ac:dyDescent="0.25">
      <c r="C729" s="2"/>
      <c r="D729" s="3"/>
      <c r="I729" s="4"/>
    </row>
    <row r="730" spans="3:9" ht="13.2" x14ac:dyDescent="0.25">
      <c r="C730" s="2"/>
      <c r="D730" s="3"/>
      <c r="I730" s="4"/>
    </row>
    <row r="731" spans="3:9" ht="13.2" x14ac:dyDescent="0.25">
      <c r="C731" s="2"/>
      <c r="D731" s="3"/>
      <c r="I731" s="4"/>
    </row>
    <row r="732" spans="3:9" ht="13.2" x14ac:dyDescent="0.25">
      <c r="C732" s="2"/>
      <c r="D732" s="3"/>
      <c r="I732" s="4"/>
    </row>
    <row r="733" spans="3:9" ht="13.2" x14ac:dyDescent="0.25">
      <c r="C733" s="2"/>
      <c r="D733" s="3"/>
      <c r="I733" s="4"/>
    </row>
    <row r="734" spans="3:9" ht="13.2" x14ac:dyDescent="0.25">
      <c r="C734" s="2"/>
      <c r="D734" s="3"/>
      <c r="I734" s="4"/>
    </row>
    <row r="735" spans="3:9" ht="13.2" x14ac:dyDescent="0.25">
      <c r="C735" s="2"/>
      <c r="D735" s="3"/>
      <c r="I735" s="4"/>
    </row>
    <row r="736" spans="3:9" ht="13.2" x14ac:dyDescent="0.25">
      <c r="C736" s="2"/>
      <c r="D736" s="3"/>
      <c r="I736" s="4"/>
    </row>
    <row r="737" spans="3:9" ht="13.2" x14ac:dyDescent="0.25">
      <c r="C737" s="2"/>
      <c r="D737" s="3"/>
      <c r="I737" s="4"/>
    </row>
    <row r="738" spans="3:9" ht="13.2" x14ac:dyDescent="0.25">
      <c r="C738" s="2"/>
      <c r="D738" s="3"/>
      <c r="I738" s="4"/>
    </row>
    <row r="739" spans="3:9" ht="13.2" x14ac:dyDescent="0.25">
      <c r="C739" s="2"/>
      <c r="D739" s="3"/>
      <c r="I739" s="4"/>
    </row>
    <row r="740" spans="3:9" ht="13.2" x14ac:dyDescent="0.25">
      <c r="C740" s="2"/>
      <c r="D740" s="3"/>
      <c r="I740" s="4"/>
    </row>
    <row r="741" spans="3:9" ht="13.2" x14ac:dyDescent="0.25">
      <c r="C741" s="2"/>
      <c r="D741" s="3"/>
      <c r="I741" s="4"/>
    </row>
    <row r="742" spans="3:9" ht="13.2" x14ac:dyDescent="0.25">
      <c r="C742" s="2"/>
      <c r="D742" s="3"/>
      <c r="I742" s="4"/>
    </row>
    <row r="743" spans="3:9" ht="13.2" x14ac:dyDescent="0.25">
      <c r="C743" s="2"/>
      <c r="D743" s="3"/>
      <c r="I743" s="4"/>
    </row>
    <row r="744" spans="3:9" ht="13.2" x14ac:dyDescent="0.25">
      <c r="C744" s="2"/>
      <c r="D744" s="3"/>
      <c r="I744" s="4"/>
    </row>
    <row r="745" spans="3:9" ht="13.2" x14ac:dyDescent="0.25">
      <c r="C745" s="2"/>
      <c r="D745" s="3"/>
      <c r="I745" s="4"/>
    </row>
    <row r="746" spans="3:9" ht="13.2" x14ac:dyDescent="0.25">
      <c r="C746" s="2"/>
      <c r="D746" s="3"/>
      <c r="I746" s="4"/>
    </row>
    <row r="747" spans="3:9" ht="13.2" x14ac:dyDescent="0.25">
      <c r="C747" s="2"/>
      <c r="D747" s="3"/>
      <c r="I747" s="4"/>
    </row>
    <row r="748" spans="3:9" ht="13.2" x14ac:dyDescent="0.25">
      <c r="C748" s="2"/>
      <c r="D748" s="3"/>
      <c r="I748" s="4"/>
    </row>
    <row r="749" spans="3:9" ht="13.2" x14ac:dyDescent="0.25">
      <c r="C749" s="2"/>
      <c r="D749" s="3"/>
      <c r="I749" s="4"/>
    </row>
    <row r="750" spans="3:9" ht="13.2" x14ac:dyDescent="0.25">
      <c r="C750" s="2"/>
      <c r="D750" s="3"/>
      <c r="I750" s="4"/>
    </row>
    <row r="751" spans="3:9" ht="13.2" x14ac:dyDescent="0.25">
      <c r="C751" s="2"/>
      <c r="D751" s="3"/>
      <c r="I751" s="4"/>
    </row>
    <row r="752" spans="3:9" ht="13.2" x14ac:dyDescent="0.25">
      <c r="C752" s="2"/>
      <c r="D752" s="3"/>
      <c r="I752" s="4"/>
    </row>
    <row r="753" spans="3:9" ht="13.2" x14ac:dyDescent="0.25">
      <c r="C753" s="2"/>
      <c r="D753" s="3"/>
      <c r="I753" s="4"/>
    </row>
    <row r="754" spans="3:9" ht="13.2" x14ac:dyDescent="0.25">
      <c r="C754" s="2"/>
      <c r="D754" s="3"/>
      <c r="I754" s="4"/>
    </row>
    <row r="755" spans="3:9" ht="13.2" x14ac:dyDescent="0.25">
      <c r="C755" s="2"/>
      <c r="D755" s="3"/>
      <c r="I755" s="4"/>
    </row>
    <row r="756" spans="3:9" ht="13.2" x14ac:dyDescent="0.25">
      <c r="C756" s="2"/>
      <c r="D756" s="3"/>
      <c r="I756" s="4"/>
    </row>
    <row r="757" spans="3:9" ht="13.2" x14ac:dyDescent="0.25">
      <c r="C757" s="2"/>
      <c r="D757" s="3"/>
      <c r="I757" s="4"/>
    </row>
    <row r="758" spans="3:9" ht="13.2" x14ac:dyDescent="0.25">
      <c r="C758" s="2"/>
      <c r="D758" s="3"/>
      <c r="I758" s="4"/>
    </row>
    <row r="759" spans="3:9" ht="13.2" x14ac:dyDescent="0.25">
      <c r="C759" s="2"/>
      <c r="D759" s="3"/>
      <c r="I759" s="4"/>
    </row>
    <row r="760" spans="3:9" ht="13.2" x14ac:dyDescent="0.25">
      <c r="C760" s="2"/>
      <c r="D760" s="3"/>
      <c r="I760" s="4"/>
    </row>
    <row r="761" spans="3:9" ht="13.2" x14ac:dyDescent="0.25">
      <c r="C761" s="2"/>
      <c r="D761" s="3"/>
      <c r="I761" s="4"/>
    </row>
    <row r="762" spans="3:9" ht="13.2" x14ac:dyDescent="0.25">
      <c r="C762" s="2"/>
      <c r="D762" s="3"/>
      <c r="I762" s="4"/>
    </row>
    <row r="763" spans="3:9" ht="13.2" x14ac:dyDescent="0.25">
      <c r="C763" s="2"/>
      <c r="D763" s="3"/>
      <c r="I763" s="4"/>
    </row>
    <row r="764" spans="3:9" ht="13.2" x14ac:dyDescent="0.25">
      <c r="C764" s="2"/>
      <c r="D764" s="3"/>
      <c r="I764" s="4"/>
    </row>
    <row r="765" spans="3:9" ht="13.2" x14ac:dyDescent="0.25">
      <c r="C765" s="2"/>
      <c r="D765" s="3"/>
      <c r="I765" s="4"/>
    </row>
    <row r="766" spans="3:9" ht="13.2" x14ac:dyDescent="0.25">
      <c r="C766" s="2"/>
      <c r="D766" s="3"/>
      <c r="I766" s="4"/>
    </row>
    <row r="767" spans="3:9" ht="13.2" x14ac:dyDescent="0.25">
      <c r="C767" s="2"/>
      <c r="D767" s="3"/>
      <c r="I767" s="4"/>
    </row>
    <row r="768" spans="3:9" ht="13.2" x14ac:dyDescent="0.25">
      <c r="C768" s="2"/>
      <c r="D768" s="3"/>
      <c r="I768" s="4"/>
    </row>
    <row r="769" spans="3:9" ht="13.2" x14ac:dyDescent="0.25">
      <c r="C769" s="2"/>
      <c r="D769" s="3"/>
      <c r="I769" s="4"/>
    </row>
    <row r="770" spans="3:9" ht="13.2" x14ac:dyDescent="0.25">
      <c r="C770" s="2"/>
      <c r="D770" s="3"/>
      <c r="I770" s="4"/>
    </row>
    <row r="771" spans="3:9" ht="13.2" x14ac:dyDescent="0.25">
      <c r="C771" s="2"/>
      <c r="D771" s="3"/>
      <c r="I771" s="4"/>
    </row>
    <row r="772" spans="3:9" ht="13.2" x14ac:dyDescent="0.25">
      <c r="C772" s="2"/>
      <c r="D772" s="3"/>
      <c r="I772" s="4"/>
    </row>
    <row r="773" spans="3:9" ht="13.2" x14ac:dyDescent="0.25">
      <c r="C773" s="2"/>
      <c r="D773" s="3"/>
      <c r="I773" s="4"/>
    </row>
    <row r="774" spans="3:9" ht="13.2" x14ac:dyDescent="0.25">
      <c r="C774" s="2"/>
      <c r="D774" s="3"/>
      <c r="I774" s="4"/>
    </row>
    <row r="775" spans="3:9" ht="13.2" x14ac:dyDescent="0.25">
      <c r="C775" s="2"/>
      <c r="D775" s="3"/>
      <c r="I775" s="4"/>
    </row>
    <row r="776" spans="3:9" ht="13.2" x14ac:dyDescent="0.25">
      <c r="C776" s="2"/>
      <c r="D776" s="3"/>
      <c r="I776" s="4"/>
    </row>
    <row r="777" spans="3:9" ht="13.2" x14ac:dyDescent="0.25">
      <c r="C777" s="2"/>
      <c r="D777" s="3"/>
      <c r="I777" s="4"/>
    </row>
    <row r="778" spans="3:9" ht="13.2" x14ac:dyDescent="0.25">
      <c r="C778" s="2"/>
      <c r="D778" s="3"/>
      <c r="I778" s="4"/>
    </row>
    <row r="779" spans="3:9" ht="13.2" x14ac:dyDescent="0.25">
      <c r="C779" s="2"/>
      <c r="D779" s="3"/>
      <c r="I779" s="4"/>
    </row>
    <row r="780" spans="3:9" ht="13.2" x14ac:dyDescent="0.25">
      <c r="C780" s="2"/>
      <c r="D780" s="3"/>
      <c r="I780" s="4"/>
    </row>
    <row r="781" spans="3:9" ht="13.2" x14ac:dyDescent="0.25">
      <c r="C781" s="2"/>
      <c r="D781" s="3"/>
      <c r="I781" s="4"/>
    </row>
    <row r="782" spans="3:9" ht="13.2" x14ac:dyDescent="0.25">
      <c r="C782" s="2"/>
      <c r="D782" s="3"/>
      <c r="I782" s="4"/>
    </row>
    <row r="783" spans="3:9" ht="13.2" x14ac:dyDescent="0.25">
      <c r="C783" s="2"/>
      <c r="D783" s="3"/>
      <c r="I783" s="4"/>
    </row>
    <row r="784" spans="3:9" ht="13.2" x14ac:dyDescent="0.25">
      <c r="C784" s="2"/>
      <c r="D784" s="3"/>
      <c r="I784" s="4"/>
    </row>
    <row r="785" spans="3:9" ht="13.2" x14ac:dyDescent="0.25">
      <c r="C785" s="2"/>
      <c r="D785" s="3"/>
      <c r="I785" s="4"/>
    </row>
    <row r="786" spans="3:9" ht="13.2" x14ac:dyDescent="0.25">
      <c r="C786" s="2"/>
      <c r="D786" s="3"/>
      <c r="I786" s="4"/>
    </row>
    <row r="787" spans="3:9" ht="13.2" x14ac:dyDescent="0.25">
      <c r="C787" s="2"/>
      <c r="D787" s="3"/>
      <c r="I787" s="4"/>
    </row>
    <row r="788" spans="3:9" ht="13.2" x14ac:dyDescent="0.25">
      <c r="C788" s="2"/>
      <c r="D788" s="3"/>
      <c r="I788" s="4"/>
    </row>
    <row r="789" spans="3:9" ht="13.2" x14ac:dyDescent="0.25">
      <c r="C789" s="2"/>
      <c r="D789" s="3"/>
      <c r="I789" s="4"/>
    </row>
    <row r="790" spans="3:9" ht="13.2" x14ac:dyDescent="0.25">
      <c r="C790" s="2"/>
      <c r="D790" s="3"/>
      <c r="I790" s="4"/>
    </row>
    <row r="791" spans="3:9" ht="13.2" x14ac:dyDescent="0.25">
      <c r="C791" s="2"/>
      <c r="D791" s="3"/>
      <c r="I791" s="4"/>
    </row>
    <row r="792" spans="3:9" ht="13.2" x14ac:dyDescent="0.25">
      <c r="C792" s="2"/>
      <c r="D792" s="3"/>
      <c r="I792" s="4"/>
    </row>
    <row r="793" spans="3:9" ht="13.2" x14ac:dyDescent="0.25">
      <c r="C793" s="2"/>
      <c r="D793" s="3"/>
      <c r="I793" s="4"/>
    </row>
    <row r="794" spans="3:9" ht="13.2" x14ac:dyDescent="0.25">
      <c r="C794" s="2"/>
      <c r="D794" s="3"/>
      <c r="I794" s="4"/>
    </row>
    <row r="795" spans="3:9" ht="13.2" x14ac:dyDescent="0.25">
      <c r="C795" s="2"/>
      <c r="D795" s="3"/>
      <c r="I795" s="4"/>
    </row>
    <row r="796" spans="3:9" ht="13.2" x14ac:dyDescent="0.25">
      <c r="C796" s="2"/>
      <c r="D796" s="3"/>
      <c r="I796" s="4"/>
    </row>
    <row r="797" spans="3:9" ht="13.2" x14ac:dyDescent="0.25">
      <c r="C797" s="2"/>
      <c r="D797" s="3"/>
      <c r="I797" s="4"/>
    </row>
    <row r="798" spans="3:9" ht="13.2" x14ac:dyDescent="0.25">
      <c r="C798" s="2"/>
      <c r="D798" s="3"/>
      <c r="I798" s="4"/>
    </row>
    <row r="799" spans="3:9" ht="13.2" x14ac:dyDescent="0.25">
      <c r="C799" s="2"/>
      <c r="D799" s="3"/>
      <c r="I799" s="4"/>
    </row>
    <row r="800" spans="3:9" ht="13.2" x14ac:dyDescent="0.25">
      <c r="C800" s="2"/>
      <c r="D800" s="3"/>
      <c r="I800" s="4"/>
    </row>
    <row r="801" spans="3:9" ht="13.2" x14ac:dyDescent="0.25">
      <c r="C801" s="2"/>
      <c r="D801" s="3"/>
      <c r="I801" s="4"/>
    </row>
    <row r="802" spans="3:9" ht="13.2" x14ac:dyDescent="0.25">
      <c r="C802" s="2"/>
      <c r="D802" s="3"/>
      <c r="I802" s="4"/>
    </row>
    <row r="803" spans="3:9" ht="13.2" x14ac:dyDescent="0.25">
      <c r="C803" s="2"/>
      <c r="D803" s="3"/>
      <c r="I803" s="4"/>
    </row>
    <row r="804" spans="3:9" ht="13.2" x14ac:dyDescent="0.25">
      <c r="C804" s="2"/>
      <c r="D804" s="3"/>
      <c r="I804" s="4"/>
    </row>
    <row r="805" spans="3:9" ht="13.2" x14ac:dyDescent="0.25">
      <c r="C805" s="2"/>
      <c r="D805" s="3"/>
      <c r="I805" s="4"/>
    </row>
    <row r="806" spans="3:9" ht="13.2" x14ac:dyDescent="0.25">
      <c r="C806" s="2"/>
      <c r="D806" s="3"/>
      <c r="I806" s="4"/>
    </row>
    <row r="807" spans="3:9" ht="13.2" x14ac:dyDescent="0.25">
      <c r="C807" s="2"/>
      <c r="D807" s="3"/>
      <c r="I807" s="4"/>
    </row>
    <row r="808" spans="3:9" ht="13.2" x14ac:dyDescent="0.25">
      <c r="C808" s="2"/>
      <c r="D808" s="3"/>
      <c r="I808" s="4"/>
    </row>
    <row r="809" spans="3:9" ht="13.2" x14ac:dyDescent="0.25">
      <c r="C809" s="2"/>
      <c r="D809" s="3"/>
      <c r="I809" s="4"/>
    </row>
    <row r="810" spans="3:9" ht="13.2" x14ac:dyDescent="0.25">
      <c r="C810" s="2"/>
      <c r="D810" s="3"/>
      <c r="I810" s="4"/>
    </row>
    <row r="811" spans="3:9" ht="13.2" x14ac:dyDescent="0.25">
      <c r="C811" s="2"/>
      <c r="D811" s="3"/>
      <c r="I811" s="4"/>
    </row>
    <row r="812" spans="3:9" ht="13.2" x14ac:dyDescent="0.25">
      <c r="C812" s="2"/>
      <c r="D812" s="3"/>
      <c r="I812" s="4"/>
    </row>
    <row r="813" spans="3:9" ht="13.2" x14ac:dyDescent="0.25">
      <c r="C813" s="2"/>
      <c r="D813" s="3"/>
      <c r="I813" s="4"/>
    </row>
    <row r="814" spans="3:9" ht="13.2" x14ac:dyDescent="0.25">
      <c r="C814" s="2"/>
      <c r="D814" s="3"/>
      <c r="I814" s="4"/>
    </row>
    <row r="815" spans="3:9" ht="13.2" x14ac:dyDescent="0.25">
      <c r="C815" s="2"/>
      <c r="D815" s="3"/>
      <c r="I815" s="4"/>
    </row>
    <row r="816" spans="3:9" ht="13.2" x14ac:dyDescent="0.25">
      <c r="C816" s="2"/>
      <c r="D816" s="3"/>
      <c r="I816" s="4"/>
    </row>
    <row r="817" spans="3:9" ht="13.2" x14ac:dyDescent="0.25">
      <c r="C817" s="2"/>
      <c r="D817" s="3"/>
      <c r="I817" s="4"/>
    </row>
    <row r="818" spans="3:9" ht="13.2" x14ac:dyDescent="0.25">
      <c r="C818" s="2"/>
      <c r="D818" s="3"/>
      <c r="I818" s="4"/>
    </row>
    <row r="819" spans="3:9" ht="13.2" x14ac:dyDescent="0.25">
      <c r="C819" s="2"/>
      <c r="D819" s="3"/>
      <c r="I819" s="4"/>
    </row>
    <row r="820" spans="3:9" ht="13.2" x14ac:dyDescent="0.25">
      <c r="C820" s="2"/>
      <c r="D820" s="3"/>
      <c r="I820" s="4"/>
    </row>
    <row r="821" spans="3:9" ht="13.2" x14ac:dyDescent="0.25">
      <c r="C821" s="2"/>
      <c r="D821" s="3"/>
      <c r="I821" s="4"/>
    </row>
    <row r="822" spans="3:9" ht="13.2" x14ac:dyDescent="0.25">
      <c r="C822" s="2"/>
      <c r="D822" s="3"/>
      <c r="I822" s="4"/>
    </row>
    <row r="823" spans="3:9" ht="13.2" x14ac:dyDescent="0.25">
      <c r="C823" s="2"/>
      <c r="D823" s="3"/>
      <c r="I823" s="4"/>
    </row>
    <row r="824" spans="3:9" ht="13.2" x14ac:dyDescent="0.25">
      <c r="C824" s="2"/>
      <c r="D824" s="3"/>
      <c r="I824" s="4"/>
    </row>
    <row r="825" spans="3:9" ht="13.2" x14ac:dyDescent="0.25">
      <c r="C825" s="2"/>
      <c r="D825" s="3"/>
      <c r="I825" s="4"/>
    </row>
    <row r="826" spans="3:9" ht="13.2" x14ac:dyDescent="0.25">
      <c r="C826" s="2"/>
      <c r="D826" s="3"/>
      <c r="I826" s="4"/>
    </row>
    <row r="827" spans="3:9" ht="13.2" x14ac:dyDescent="0.25">
      <c r="C827" s="2"/>
      <c r="D827" s="3"/>
      <c r="I827" s="4"/>
    </row>
    <row r="828" spans="3:9" ht="13.2" x14ac:dyDescent="0.25">
      <c r="C828" s="2"/>
      <c r="D828" s="3"/>
      <c r="I828" s="4"/>
    </row>
    <row r="829" spans="3:9" ht="13.2" x14ac:dyDescent="0.25">
      <c r="C829" s="2"/>
      <c r="D829" s="3"/>
      <c r="I829" s="4"/>
    </row>
    <row r="830" spans="3:9" ht="13.2" x14ac:dyDescent="0.25">
      <c r="C830" s="2"/>
      <c r="D830" s="3"/>
      <c r="I830" s="4"/>
    </row>
    <row r="831" spans="3:9" ht="13.2" x14ac:dyDescent="0.25">
      <c r="C831" s="2"/>
      <c r="D831" s="3"/>
      <c r="I831" s="4"/>
    </row>
    <row r="832" spans="3:9" ht="13.2" x14ac:dyDescent="0.25">
      <c r="C832" s="2"/>
      <c r="D832" s="3"/>
      <c r="I832" s="4"/>
    </row>
    <row r="833" spans="3:9" ht="13.2" x14ac:dyDescent="0.25">
      <c r="C833" s="2"/>
      <c r="D833" s="3"/>
      <c r="I833" s="4"/>
    </row>
    <row r="834" spans="3:9" ht="13.2" x14ac:dyDescent="0.25">
      <c r="C834" s="2"/>
      <c r="D834" s="3"/>
      <c r="I834" s="4"/>
    </row>
    <row r="835" spans="3:9" ht="13.2" x14ac:dyDescent="0.25">
      <c r="C835" s="2"/>
      <c r="D835" s="3"/>
      <c r="I835" s="4"/>
    </row>
    <row r="836" spans="3:9" ht="13.2" x14ac:dyDescent="0.25">
      <c r="C836" s="2"/>
      <c r="D836" s="3"/>
      <c r="I836" s="4"/>
    </row>
    <row r="837" spans="3:9" ht="13.2" x14ac:dyDescent="0.25">
      <c r="C837" s="2"/>
      <c r="D837" s="3"/>
      <c r="I837" s="4"/>
    </row>
    <row r="838" spans="3:9" ht="13.2" x14ac:dyDescent="0.25">
      <c r="C838" s="2"/>
      <c r="D838" s="3"/>
      <c r="I838" s="4"/>
    </row>
    <row r="839" spans="3:9" ht="13.2" x14ac:dyDescent="0.25">
      <c r="C839" s="2"/>
      <c r="D839" s="3"/>
      <c r="I839" s="4"/>
    </row>
    <row r="840" spans="3:9" ht="13.2" x14ac:dyDescent="0.25">
      <c r="C840" s="2"/>
      <c r="D840" s="3"/>
      <c r="I840" s="4"/>
    </row>
    <row r="841" spans="3:9" ht="13.2" x14ac:dyDescent="0.25">
      <c r="C841" s="2"/>
      <c r="D841" s="3"/>
      <c r="I841" s="4"/>
    </row>
    <row r="842" spans="3:9" ht="13.2" x14ac:dyDescent="0.25">
      <c r="C842" s="2"/>
      <c r="D842" s="3"/>
      <c r="I842" s="4"/>
    </row>
    <row r="843" spans="3:9" ht="13.2" x14ac:dyDescent="0.25">
      <c r="C843" s="2"/>
      <c r="D843" s="3"/>
      <c r="I843" s="4"/>
    </row>
    <row r="844" spans="3:9" ht="13.2" x14ac:dyDescent="0.25">
      <c r="C844" s="2"/>
      <c r="D844" s="3"/>
      <c r="I844" s="4"/>
    </row>
    <row r="845" spans="3:9" ht="13.2" x14ac:dyDescent="0.25">
      <c r="C845" s="2"/>
      <c r="D845" s="3"/>
      <c r="I845" s="4"/>
    </row>
    <row r="846" spans="3:9" ht="13.2" x14ac:dyDescent="0.25">
      <c r="C846" s="2"/>
      <c r="D846" s="3"/>
      <c r="I846" s="4"/>
    </row>
    <row r="847" spans="3:9" ht="13.2" x14ac:dyDescent="0.25">
      <c r="C847" s="2"/>
      <c r="D847" s="3"/>
      <c r="I847" s="4"/>
    </row>
    <row r="848" spans="3:9" ht="13.2" x14ac:dyDescent="0.25">
      <c r="C848" s="2"/>
      <c r="D848" s="3"/>
      <c r="I848" s="4"/>
    </row>
    <row r="849" spans="3:9" ht="13.2" x14ac:dyDescent="0.25">
      <c r="C849" s="2"/>
      <c r="D849" s="3"/>
      <c r="I849" s="4"/>
    </row>
    <row r="850" spans="3:9" ht="13.2" x14ac:dyDescent="0.25">
      <c r="C850" s="2"/>
      <c r="D850" s="3"/>
      <c r="I850" s="4"/>
    </row>
    <row r="851" spans="3:9" ht="13.2" x14ac:dyDescent="0.25">
      <c r="C851" s="2"/>
      <c r="D851" s="3"/>
      <c r="I851" s="4"/>
    </row>
    <row r="852" spans="3:9" ht="13.2" x14ac:dyDescent="0.25">
      <c r="C852" s="2"/>
      <c r="D852" s="3"/>
      <c r="I852" s="4"/>
    </row>
    <row r="853" spans="3:9" ht="13.2" x14ac:dyDescent="0.25">
      <c r="C853" s="2"/>
      <c r="D853" s="3"/>
      <c r="I853" s="4"/>
    </row>
    <row r="854" spans="3:9" ht="13.2" x14ac:dyDescent="0.25">
      <c r="C854" s="2"/>
      <c r="D854" s="3"/>
      <c r="I854" s="4"/>
    </row>
    <row r="855" spans="3:9" ht="13.2" x14ac:dyDescent="0.25">
      <c r="C855" s="2"/>
      <c r="D855" s="3"/>
      <c r="I855" s="4"/>
    </row>
    <row r="856" spans="3:9" ht="13.2" x14ac:dyDescent="0.25">
      <c r="C856" s="2"/>
      <c r="D856" s="3"/>
      <c r="I856" s="4"/>
    </row>
    <row r="857" spans="3:9" ht="13.2" x14ac:dyDescent="0.25">
      <c r="C857" s="2"/>
      <c r="D857" s="3"/>
      <c r="I857" s="4"/>
    </row>
    <row r="858" spans="3:9" ht="13.2" x14ac:dyDescent="0.25">
      <c r="C858" s="2"/>
      <c r="D858" s="3"/>
      <c r="I858" s="4"/>
    </row>
    <row r="859" spans="3:9" ht="13.2" x14ac:dyDescent="0.25">
      <c r="C859" s="2"/>
      <c r="D859" s="3"/>
      <c r="I859" s="4"/>
    </row>
    <row r="860" spans="3:9" ht="13.2" x14ac:dyDescent="0.25">
      <c r="C860" s="2"/>
      <c r="D860" s="3"/>
      <c r="I860" s="4"/>
    </row>
    <row r="861" spans="3:9" ht="13.2" x14ac:dyDescent="0.25">
      <c r="C861" s="2"/>
      <c r="D861" s="3"/>
      <c r="I861" s="4"/>
    </row>
    <row r="862" spans="3:9" ht="13.2" x14ac:dyDescent="0.25">
      <c r="C862" s="2"/>
      <c r="D862" s="3"/>
      <c r="I862" s="4"/>
    </row>
    <row r="863" spans="3:9" ht="13.2" x14ac:dyDescent="0.25">
      <c r="C863" s="2"/>
      <c r="D863" s="3"/>
      <c r="I863" s="4"/>
    </row>
    <row r="864" spans="3:9" ht="13.2" x14ac:dyDescent="0.25">
      <c r="C864" s="2"/>
      <c r="D864" s="3"/>
      <c r="I864" s="4"/>
    </row>
    <row r="865" spans="3:9" ht="13.2" x14ac:dyDescent="0.25">
      <c r="C865" s="2"/>
      <c r="D865" s="3"/>
      <c r="I865" s="4"/>
    </row>
    <row r="866" spans="3:9" ht="13.2" x14ac:dyDescent="0.25">
      <c r="C866" s="2"/>
      <c r="D866" s="3"/>
      <c r="I866" s="4"/>
    </row>
    <row r="867" spans="3:9" ht="13.2" x14ac:dyDescent="0.25">
      <c r="C867" s="2"/>
      <c r="D867" s="3"/>
      <c r="I867" s="4"/>
    </row>
    <row r="868" spans="3:9" ht="13.2" x14ac:dyDescent="0.25">
      <c r="C868" s="2"/>
      <c r="D868" s="3"/>
      <c r="I868" s="4"/>
    </row>
    <row r="869" spans="3:9" ht="13.2" x14ac:dyDescent="0.25">
      <c r="C869" s="2"/>
      <c r="D869" s="3"/>
      <c r="I869" s="4"/>
    </row>
    <row r="870" spans="3:9" ht="13.2" x14ac:dyDescent="0.25">
      <c r="C870" s="2"/>
      <c r="D870" s="3"/>
      <c r="I870" s="4"/>
    </row>
    <row r="871" spans="3:9" ht="13.2" x14ac:dyDescent="0.25">
      <c r="C871" s="2"/>
      <c r="D871" s="3"/>
      <c r="I871" s="4"/>
    </row>
    <row r="872" spans="3:9" ht="13.2" x14ac:dyDescent="0.25">
      <c r="C872" s="2"/>
      <c r="D872" s="3"/>
      <c r="I872" s="4"/>
    </row>
    <row r="873" spans="3:9" ht="13.2" x14ac:dyDescent="0.25">
      <c r="C873" s="2"/>
      <c r="D873" s="3"/>
      <c r="I873" s="4"/>
    </row>
    <row r="874" spans="3:9" ht="13.2" x14ac:dyDescent="0.25">
      <c r="C874" s="2"/>
      <c r="D874" s="3"/>
      <c r="I874" s="4"/>
    </row>
    <row r="875" spans="3:9" ht="13.2" x14ac:dyDescent="0.25">
      <c r="C875" s="2"/>
      <c r="D875" s="3"/>
      <c r="I875" s="4"/>
    </row>
    <row r="876" spans="3:9" ht="13.2" x14ac:dyDescent="0.25">
      <c r="C876" s="2"/>
      <c r="D876" s="3"/>
      <c r="I876" s="4"/>
    </row>
    <row r="877" spans="3:9" ht="13.2" x14ac:dyDescent="0.25">
      <c r="C877" s="2"/>
      <c r="D877" s="3"/>
      <c r="I877" s="4"/>
    </row>
    <row r="878" spans="3:9" ht="13.2" x14ac:dyDescent="0.25">
      <c r="C878" s="2"/>
      <c r="D878" s="3"/>
      <c r="I878" s="4"/>
    </row>
    <row r="879" spans="3:9" ht="13.2" x14ac:dyDescent="0.25">
      <c r="C879" s="2"/>
      <c r="D879" s="3"/>
      <c r="I879" s="4"/>
    </row>
    <row r="880" spans="3:9" ht="13.2" x14ac:dyDescent="0.25">
      <c r="C880" s="2"/>
      <c r="D880" s="3"/>
      <c r="I880" s="4"/>
    </row>
    <row r="881" spans="3:9" ht="13.2" x14ac:dyDescent="0.25">
      <c r="C881" s="2"/>
      <c r="D881" s="3"/>
      <c r="I881" s="4"/>
    </row>
    <row r="882" spans="3:9" ht="13.2" x14ac:dyDescent="0.25">
      <c r="C882" s="2"/>
      <c r="D882" s="3"/>
      <c r="I882" s="4"/>
    </row>
    <row r="883" spans="3:9" ht="13.2" x14ac:dyDescent="0.25">
      <c r="C883" s="2"/>
      <c r="D883" s="3"/>
      <c r="I883" s="4"/>
    </row>
    <row r="884" spans="3:9" ht="13.2" x14ac:dyDescent="0.25">
      <c r="C884" s="2"/>
      <c r="D884" s="3"/>
      <c r="I884" s="4"/>
    </row>
    <row r="885" spans="3:9" ht="13.2" x14ac:dyDescent="0.25">
      <c r="C885" s="2"/>
      <c r="D885" s="3"/>
      <c r="I885" s="4"/>
    </row>
    <row r="886" spans="3:9" ht="13.2" x14ac:dyDescent="0.25">
      <c r="C886" s="2"/>
      <c r="D886" s="3"/>
      <c r="I886" s="4"/>
    </row>
    <row r="887" spans="3:9" ht="13.2" x14ac:dyDescent="0.25">
      <c r="C887" s="2"/>
      <c r="D887" s="3"/>
      <c r="I887" s="4"/>
    </row>
    <row r="888" spans="3:9" ht="13.2" x14ac:dyDescent="0.25">
      <c r="C888" s="2"/>
      <c r="D888" s="3"/>
      <c r="I888" s="4"/>
    </row>
    <row r="889" spans="3:9" ht="13.2" x14ac:dyDescent="0.25">
      <c r="C889" s="2"/>
      <c r="D889" s="3"/>
      <c r="I889" s="4"/>
    </row>
    <row r="890" spans="3:9" ht="13.2" x14ac:dyDescent="0.25">
      <c r="C890" s="2"/>
      <c r="D890" s="3"/>
      <c r="I890" s="4"/>
    </row>
    <row r="891" spans="3:9" ht="13.2" x14ac:dyDescent="0.25">
      <c r="C891" s="2"/>
      <c r="D891" s="3"/>
      <c r="I891" s="4"/>
    </row>
    <row r="892" spans="3:9" ht="13.2" x14ac:dyDescent="0.25">
      <c r="C892" s="2"/>
      <c r="D892" s="3"/>
      <c r="I892" s="4"/>
    </row>
    <row r="893" spans="3:9" ht="13.2" x14ac:dyDescent="0.25">
      <c r="C893" s="2"/>
      <c r="D893" s="3"/>
      <c r="I893" s="4"/>
    </row>
    <row r="894" spans="3:9" ht="13.2" x14ac:dyDescent="0.25">
      <c r="C894" s="2"/>
      <c r="D894" s="3"/>
      <c r="I894" s="4"/>
    </row>
    <row r="895" spans="3:9" ht="13.2" x14ac:dyDescent="0.25">
      <c r="C895" s="2"/>
      <c r="D895" s="3"/>
      <c r="I895" s="4"/>
    </row>
    <row r="896" spans="3:9" ht="13.2" x14ac:dyDescent="0.25">
      <c r="C896" s="2"/>
      <c r="D896" s="3"/>
      <c r="I896" s="4"/>
    </row>
    <row r="897" spans="3:9" ht="13.2" x14ac:dyDescent="0.25">
      <c r="C897" s="2"/>
      <c r="D897" s="3"/>
      <c r="I897" s="4"/>
    </row>
    <row r="898" spans="3:9" ht="13.2" x14ac:dyDescent="0.25">
      <c r="C898" s="2"/>
      <c r="D898" s="3"/>
      <c r="I898" s="4"/>
    </row>
    <row r="899" spans="3:9" ht="13.2" x14ac:dyDescent="0.25">
      <c r="C899" s="2"/>
      <c r="D899" s="3"/>
      <c r="I899" s="4"/>
    </row>
    <row r="900" spans="3:9" ht="13.2" x14ac:dyDescent="0.25">
      <c r="C900" s="2"/>
      <c r="D900" s="3"/>
      <c r="I900" s="4"/>
    </row>
    <row r="901" spans="3:9" ht="13.2" x14ac:dyDescent="0.25">
      <c r="C901" s="2"/>
      <c r="D901" s="3"/>
      <c r="I901" s="4"/>
    </row>
    <row r="902" spans="3:9" ht="13.2" x14ac:dyDescent="0.25">
      <c r="C902" s="2"/>
      <c r="D902" s="3"/>
      <c r="I902" s="4"/>
    </row>
    <row r="903" spans="3:9" ht="13.2" x14ac:dyDescent="0.25">
      <c r="C903" s="2"/>
      <c r="D903" s="3"/>
      <c r="I903" s="4"/>
    </row>
    <row r="904" spans="3:9" ht="13.2" x14ac:dyDescent="0.25">
      <c r="C904" s="2"/>
      <c r="D904" s="3"/>
      <c r="I904" s="4"/>
    </row>
    <row r="905" spans="3:9" ht="13.2" x14ac:dyDescent="0.25">
      <c r="C905" s="2"/>
      <c r="D905" s="3"/>
      <c r="I905" s="4"/>
    </row>
    <row r="906" spans="3:9" ht="13.2" x14ac:dyDescent="0.25">
      <c r="C906" s="2"/>
      <c r="D906" s="3"/>
      <c r="I906" s="4"/>
    </row>
    <row r="907" spans="3:9" ht="13.2" x14ac:dyDescent="0.25">
      <c r="C907" s="2"/>
      <c r="D907" s="3"/>
      <c r="I907" s="4"/>
    </row>
    <row r="908" spans="3:9" ht="13.2" x14ac:dyDescent="0.25">
      <c r="C908" s="2"/>
      <c r="D908" s="3"/>
      <c r="I908" s="4"/>
    </row>
    <row r="909" spans="3:9" ht="13.2" x14ac:dyDescent="0.25">
      <c r="C909" s="2"/>
      <c r="D909" s="3"/>
      <c r="I909" s="4"/>
    </row>
    <row r="910" spans="3:9" ht="13.2" x14ac:dyDescent="0.25">
      <c r="C910" s="2"/>
      <c r="D910" s="3"/>
      <c r="I910" s="4"/>
    </row>
    <row r="911" spans="3:9" ht="13.2" x14ac:dyDescent="0.25">
      <c r="C911" s="2"/>
      <c r="D911" s="3"/>
      <c r="I911" s="4"/>
    </row>
    <row r="912" spans="3:9" ht="13.2" x14ac:dyDescent="0.25">
      <c r="C912" s="2"/>
      <c r="D912" s="3"/>
      <c r="I912" s="4"/>
    </row>
    <row r="913" spans="3:9" ht="13.2" x14ac:dyDescent="0.25">
      <c r="C913" s="2"/>
      <c r="D913" s="3"/>
      <c r="I913" s="4"/>
    </row>
    <row r="914" spans="3:9" ht="13.2" x14ac:dyDescent="0.25">
      <c r="C914" s="2"/>
      <c r="D914" s="3"/>
      <c r="I914" s="4"/>
    </row>
    <row r="915" spans="3:9" ht="13.2" x14ac:dyDescent="0.25">
      <c r="C915" s="2"/>
      <c r="D915" s="3"/>
      <c r="I915" s="4"/>
    </row>
    <row r="916" spans="3:9" ht="13.2" x14ac:dyDescent="0.25">
      <c r="C916" s="2"/>
      <c r="D916" s="3"/>
      <c r="I916" s="4"/>
    </row>
    <row r="917" spans="3:9" ht="13.2" x14ac:dyDescent="0.25">
      <c r="C917" s="2"/>
      <c r="D917" s="3"/>
      <c r="I917" s="4"/>
    </row>
    <row r="918" spans="3:9" ht="13.2" x14ac:dyDescent="0.25">
      <c r="C918" s="2"/>
      <c r="D918" s="3"/>
      <c r="I918" s="4"/>
    </row>
    <row r="919" spans="3:9" ht="13.2" x14ac:dyDescent="0.25">
      <c r="C919" s="2"/>
      <c r="D919" s="3"/>
      <c r="I919" s="4"/>
    </row>
    <row r="920" spans="3:9" ht="13.2" x14ac:dyDescent="0.25">
      <c r="C920" s="2"/>
      <c r="D920" s="3"/>
      <c r="I920" s="4"/>
    </row>
    <row r="921" spans="3:9" ht="13.2" x14ac:dyDescent="0.25">
      <c r="C921" s="2"/>
      <c r="D921" s="3"/>
      <c r="I921" s="4"/>
    </row>
    <row r="922" spans="3:9" ht="13.2" x14ac:dyDescent="0.25">
      <c r="C922" s="2"/>
      <c r="D922" s="3"/>
      <c r="I922" s="4"/>
    </row>
    <row r="923" spans="3:9" ht="13.2" x14ac:dyDescent="0.25">
      <c r="C923" s="2"/>
      <c r="D923" s="3"/>
      <c r="I923" s="4"/>
    </row>
    <row r="924" spans="3:9" ht="13.2" x14ac:dyDescent="0.25">
      <c r="C924" s="2"/>
      <c r="D924" s="3"/>
      <c r="I924" s="4"/>
    </row>
    <row r="925" spans="3:9" ht="13.2" x14ac:dyDescent="0.25">
      <c r="C925" s="2"/>
      <c r="D925" s="3"/>
      <c r="I925" s="4"/>
    </row>
    <row r="926" spans="3:9" ht="13.2" x14ac:dyDescent="0.25">
      <c r="C926" s="2"/>
      <c r="D926" s="3"/>
      <c r="I926" s="4"/>
    </row>
    <row r="927" spans="3:9" ht="13.2" x14ac:dyDescent="0.25">
      <c r="C927" s="2"/>
      <c r="D927" s="3"/>
      <c r="I927" s="4"/>
    </row>
    <row r="928" spans="3:9" ht="13.2" x14ac:dyDescent="0.25">
      <c r="C928" s="2"/>
      <c r="D928" s="3"/>
      <c r="I928" s="4"/>
    </row>
    <row r="929" spans="3:9" ht="13.2" x14ac:dyDescent="0.25">
      <c r="C929" s="2"/>
      <c r="D929" s="3"/>
      <c r="I929" s="4"/>
    </row>
    <row r="930" spans="3:9" ht="13.2" x14ac:dyDescent="0.25">
      <c r="C930" s="2"/>
      <c r="D930" s="3"/>
      <c r="I930" s="4"/>
    </row>
    <row r="931" spans="3:9" ht="13.2" x14ac:dyDescent="0.25">
      <c r="C931" s="2"/>
      <c r="D931" s="3"/>
      <c r="I931" s="4"/>
    </row>
    <row r="932" spans="3:9" ht="13.2" x14ac:dyDescent="0.25">
      <c r="C932" s="2"/>
      <c r="D932" s="3"/>
      <c r="I932" s="4"/>
    </row>
    <row r="933" spans="3:9" ht="13.2" x14ac:dyDescent="0.25">
      <c r="C933" s="2"/>
      <c r="D933" s="3"/>
      <c r="I933" s="4"/>
    </row>
    <row r="934" spans="3:9" ht="13.2" x14ac:dyDescent="0.25">
      <c r="C934" s="2"/>
      <c r="D934" s="3"/>
      <c r="I934" s="4"/>
    </row>
    <row r="935" spans="3:9" ht="13.2" x14ac:dyDescent="0.25">
      <c r="C935" s="2"/>
      <c r="D935" s="3"/>
      <c r="I935" s="4"/>
    </row>
    <row r="936" spans="3:9" ht="13.2" x14ac:dyDescent="0.25">
      <c r="C936" s="2"/>
      <c r="D936" s="3"/>
      <c r="I936" s="4"/>
    </row>
    <row r="937" spans="3:9" ht="13.2" x14ac:dyDescent="0.25">
      <c r="C937" s="2"/>
      <c r="D937" s="3"/>
      <c r="I937" s="4"/>
    </row>
    <row r="938" spans="3:9" ht="13.2" x14ac:dyDescent="0.25">
      <c r="C938" s="2"/>
      <c r="D938" s="3"/>
      <c r="I938" s="4"/>
    </row>
    <row r="939" spans="3:9" ht="13.2" x14ac:dyDescent="0.25">
      <c r="C939" s="2"/>
      <c r="D939" s="3"/>
      <c r="I939" s="4"/>
    </row>
    <row r="940" spans="3:9" ht="13.2" x14ac:dyDescent="0.25">
      <c r="C940" s="2"/>
      <c r="D940" s="3"/>
      <c r="I940" s="4"/>
    </row>
    <row r="941" spans="3:9" ht="13.2" x14ac:dyDescent="0.25">
      <c r="C941" s="2"/>
      <c r="D941" s="3"/>
      <c r="I941" s="4"/>
    </row>
    <row r="942" spans="3:9" ht="13.2" x14ac:dyDescent="0.25">
      <c r="C942" s="2"/>
      <c r="D942" s="3"/>
      <c r="I942" s="4"/>
    </row>
    <row r="943" spans="3:9" ht="13.2" x14ac:dyDescent="0.25">
      <c r="C943" s="2"/>
      <c r="D943" s="3"/>
      <c r="I943" s="4"/>
    </row>
    <row r="944" spans="3:9" ht="13.2" x14ac:dyDescent="0.25">
      <c r="C944" s="2"/>
      <c r="D944" s="3"/>
      <c r="I944" s="4"/>
    </row>
    <row r="945" spans="3:9" ht="13.2" x14ac:dyDescent="0.25">
      <c r="C945" s="2"/>
      <c r="D945" s="3"/>
      <c r="I945" s="4"/>
    </row>
    <row r="946" spans="3:9" ht="13.2" x14ac:dyDescent="0.25">
      <c r="C946" s="2"/>
      <c r="D946" s="3"/>
      <c r="I946" s="4"/>
    </row>
    <row r="947" spans="3:9" ht="13.2" x14ac:dyDescent="0.25">
      <c r="C947" s="2"/>
      <c r="D947" s="3"/>
      <c r="I947" s="4"/>
    </row>
    <row r="948" spans="3:9" ht="13.2" x14ac:dyDescent="0.25">
      <c r="C948" s="2"/>
      <c r="D948" s="3"/>
      <c r="I948" s="4"/>
    </row>
    <row r="949" spans="3:9" ht="13.2" x14ac:dyDescent="0.25">
      <c r="C949" s="2"/>
      <c r="D949" s="3"/>
      <c r="I949" s="4"/>
    </row>
    <row r="950" spans="3:9" ht="13.2" x14ac:dyDescent="0.25">
      <c r="C950" s="2"/>
      <c r="D950" s="3"/>
      <c r="I950" s="4"/>
    </row>
    <row r="951" spans="3:9" ht="13.2" x14ac:dyDescent="0.25">
      <c r="C951" s="2"/>
      <c r="D951" s="3"/>
      <c r="I951" s="4"/>
    </row>
    <row r="952" spans="3:9" ht="13.2" x14ac:dyDescent="0.25">
      <c r="C952" s="2"/>
      <c r="D952" s="3"/>
      <c r="I952" s="4"/>
    </row>
    <row r="953" spans="3:9" ht="13.2" x14ac:dyDescent="0.25">
      <c r="C953" s="2"/>
      <c r="D953" s="3"/>
      <c r="I953" s="4"/>
    </row>
    <row r="954" spans="3:9" ht="13.2" x14ac:dyDescent="0.25">
      <c r="C954" s="2"/>
      <c r="D954" s="3"/>
      <c r="I954" s="4"/>
    </row>
    <row r="955" spans="3:9" ht="13.2" x14ac:dyDescent="0.25">
      <c r="C955" s="2"/>
      <c r="D955" s="3"/>
      <c r="I955" s="4"/>
    </row>
    <row r="956" spans="3:9" ht="13.2" x14ac:dyDescent="0.25">
      <c r="C956" s="2"/>
      <c r="D956" s="3"/>
      <c r="I956" s="4"/>
    </row>
    <row r="957" spans="3:9" ht="13.2" x14ac:dyDescent="0.25">
      <c r="C957" s="2"/>
      <c r="D957" s="3"/>
      <c r="I957" s="4"/>
    </row>
    <row r="958" spans="3:9" ht="13.2" x14ac:dyDescent="0.25">
      <c r="C958" s="2"/>
      <c r="D958" s="3"/>
      <c r="I958" s="4"/>
    </row>
    <row r="959" spans="3:9" ht="13.2" x14ac:dyDescent="0.25">
      <c r="C959" s="2"/>
      <c r="D959" s="3"/>
      <c r="I959" s="4"/>
    </row>
    <row r="960" spans="3:9" ht="13.2" x14ac:dyDescent="0.25">
      <c r="C960" s="2"/>
      <c r="D960" s="3"/>
      <c r="I960" s="4"/>
    </row>
    <row r="961" spans="3:9" ht="13.2" x14ac:dyDescent="0.25">
      <c r="C961" s="2"/>
      <c r="D961" s="3"/>
      <c r="I961" s="4"/>
    </row>
    <row r="962" spans="3:9" ht="13.2" x14ac:dyDescent="0.25">
      <c r="C962" s="2"/>
      <c r="D962" s="3"/>
      <c r="I962" s="4"/>
    </row>
    <row r="963" spans="3:9" ht="13.2" x14ac:dyDescent="0.25">
      <c r="C963" s="2"/>
      <c r="D963" s="3"/>
      <c r="I963" s="4"/>
    </row>
    <row r="964" spans="3:9" ht="13.2" x14ac:dyDescent="0.25">
      <c r="C964" s="2"/>
      <c r="D964" s="3"/>
      <c r="I964" s="4"/>
    </row>
    <row r="965" spans="3:9" ht="13.2" x14ac:dyDescent="0.25">
      <c r="C965" s="2"/>
      <c r="D965" s="3"/>
      <c r="I965" s="4"/>
    </row>
    <row r="966" spans="3:9" ht="13.2" x14ac:dyDescent="0.25">
      <c r="C966" s="2"/>
      <c r="D966" s="3"/>
      <c r="I966" s="4"/>
    </row>
    <row r="967" spans="3:9" ht="13.2" x14ac:dyDescent="0.25">
      <c r="C967" s="2"/>
      <c r="D967" s="3"/>
      <c r="I967" s="4"/>
    </row>
    <row r="968" spans="3:9" ht="13.2" x14ac:dyDescent="0.25">
      <c r="C968" s="2"/>
      <c r="D968" s="3"/>
      <c r="I968" s="4"/>
    </row>
    <row r="969" spans="3:9" ht="13.2" x14ac:dyDescent="0.25">
      <c r="C969" s="2"/>
      <c r="D969" s="3"/>
      <c r="I969" s="4"/>
    </row>
    <row r="970" spans="3:9" ht="13.2" x14ac:dyDescent="0.25">
      <c r="C970" s="2"/>
      <c r="D970" s="3"/>
      <c r="I970" s="4"/>
    </row>
    <row r="971" spans="3:9" ht="13.2" x14ac:dyDescent="0.25">
      <c r="C971" s="2"/>
      <c r="D971" s="3"/>
      <c r="I971" s="4"/>
    </row>
    <row r="972" spans="3:9" ht="13.2" x14ac:dyDescent="0.25">
      <c r="C972" s="2"/>
      <c r="D972" s="3"/>
      <c r="I972" s="4"/>
    </row>
    <row r="973" spans="3:9" ht="13.2" x14ac:dyDescent="0.25">
      <c r="C973" s="2"/>
      <c r="D973" s="3"/>
      <c r="I973" s="4"/>
    </row>
    <row r="974" spans="3:9" ht="13.2" x14ac:dyDescent="0.25">
      <c r="C974" s="2"/>
      <c r="D974" s="3"/>
      <c r="I974" s="4"/>
    </row>
    <row r="975" spans="3:9" ht="13.2" x14ac:dyDescent="0.25">
      <c r="C975" s="2"/>
      <c r="D975" s="3"/>
      <c r="I975" s="4"/>
    </row>
    <row r="976" spans="3:9" ht="13.2" x14ac:dyDescent="0.25">
      <c r="C976" s="2"/>
      <c r="D976" s="3"/>
      <c r="I976" s="4"/>
    </row>
    <row r="977" spans="3:9" ht="13.2" x14ac:dyDescent="0.25">
      <c r="C977" s="2"/>
      <c r="D977" s="3"/>
      <c r="I977" s="4"/>
    </row>
    <row r="978" spans="3:9" ht="13.2" x14ac:dyDescent="0.25">
      <c r="C978" s="2"/>
      <c r="D978" s="3"/>
      <c r="I978" s="4"/>
    </row>
    <row r="979" spans="3:9" ht="13.2" x14ac:dyDescent="0.25">
      <c r="C979" s="2"/>
      <c r="D979" s="3"/>
      <c r="I979" s="4"/>
    </row>
    <row r="980" spans="3:9" ht="13.2" x14ac:dyDescent="0.25">
      <c r="C980" s="2"/>
      <c r="D980" s="3"/>
      <c r="I980" s="4"/>
    </row>
    <row r="981" spans="3:9" ht="13.2" x14ac:dyDescent="0.25">
      <c r="C981" s="2"/>
      <c r="D981" s="3"/>
      <c r="I981" s="4"/>
    </row>
    <row r="982" spans="3:9" ht="13.2" x14ac:dyDescent="0.25">
      <c r="C982" s="2"/>
      <c r="D982" s="3"/>
      <c r="I982" s="4"/>
    </row>
    <row r="983" spans="3:9" ht="13.2" x14ac:dyDescent="0.25">
      <c r="C983" s="2"/>
      <c r="D983" s="3"/>
      <c r="I983" s="4"/>
    </row>
    <row r="984" spans="3:9" ht="13.2" x14ac:dyDescent="0.25">
      <c r="C984" s="2"/>
      <c r="D984" s="3"/>
      <c r="I984" s="4"/>
    </row>
    <row r="985" spans="3:9" ht="13.2" x14ac:dyDescent="0.25">
      <c r="C985" s="2"/>
      <c r="D985" s="3"/>
      <c r="I985" s="4"/>
    </row>
    <row r="986" spans="3:9" ht="13.2" x14ac:dyDescent="0.25">
      <c r="C986" s="2"/>
      <c r="D986" s="3"/>
      <c r="I986" s="4"/>
    </row>
    <row r="987" spans="3:9" ht="13.2" x14ac:dyDescent="0.25">
      <c r="C987" s="2"/>
      <c r="D987" s="3"/>
      <c r="I987" s="4"/>
    </row>
    <row r="988" spans="3:9" ht="13.2" x14ac:dyDescent="0.25">
      <c r="C988" s="2"/>
      <c r="D988" s="3"/>
      <c r="I988" s="4"/>
    </row>
    <row r="989" spans="3:9" ht="13.2" x14ac:dyDescent="0.25">
      <c r="C989" s="2"/>
      <c r="D989" s="3"/>
      <c r="I989" s="4"/>
    </row>
    <row r="990" spans="3:9" ht="13.2" x14ac:dyDescent="0.25">
      <c r="C990" s="2"/>
      <c r="D990" s="3"/>
      <c r="I990" s="4"/>
    </row>
    <row r="991" spans="3:9" ht="13.2" x14ac:dyDescent="0.25">
      <c r="C991" s="2"/>
      <c r="D991" s="3"/>
      <c r="I991" s="4"/>
    </row>
    <row r="992" spans="3:9" ht="13.2" x14ac:dyDescent="0.25">
      <c r="C992" s="2"/>
      <c r="D992" s="3"/>
      <c r="I992" s="4"/>
    </row>
    <row r="993" spans="3:9" ht="13.2" x14ac:dyDescent="0.25">
      <c r="C993" s="2"/>
      <c r="D993" s="3"/>
      <c r="I993" s="4"/>
    </row>
    <row r="994" spans="3:9" ht="13.2" x14ac:dyDescent="0.25">
      <c r="C994" s="2"/>
      <c r="D994" s="3"/>
      <c r="I994" s="4"/>
    </row>
    <row r="995" spans="3:9" ht="13.2" x14ac:dyDescent="0.25">
      <c r="C995" s="2"/>
      <c r="D995" s="3"/>
      <c r="I995" s="4"/>
    </row>
    <row r="996" spans="3:9" ht="13.2" x14ac:dyDescent="0.25">
      <c r="C996" s="2"/>
      <c r="D996" s="3"/>
      <c r="I996" s="4"/>
    </row>
    <row r="997" spans="3:9" ht="13.2" x14ac:dyDescent="0.25">
      <c r="C997" s="2"/>
      <c r="D997" s="3"/>
      <c r="I997" s="4"/>
    </row>
    <row r="998" spans="3:9" ht="13.2" x14ac:dyDescent="0.25">
      <c r="C998" s="2"/>
      <c r="D998" s="3"/>
      <c r="I998" s="4"/>
    </row>
    <row r="999" spans="3:9" ht="13.2" x14ac:dyDescent="0.25">
      <c r="C999" s="2"/>
      <c r="D999" s="3"/>
      <c r="I999" s="4"/>
    </row>
    <row r="1000" spans="3:9" ht="13.2" x14ac:dyDescent="0.25">
      <c r="C1000" s="2"/>
      <c r="D1000" s="3"/>
      <c r="I1000" s="4"/>
    </row>
    <row r="1001" spans="3:9" ht="13.2" x14ac:dyDescent="0.25">
      <c r="C1001" s="1"/>
      <c r="D1001" s="3"/>
    </row>
    <row r="1002" spans="3:9" ht="13.2" x14ac:dyDescent="0.25">
      <c r="C1002" s="1"/>
      <c r="D100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3A4AA-8620-48B0-9BE3-EF9FFF91B073}">
  <sheetPr>
    <tabColor theme="5" tint="0.39997558519241921"/>
    <outlinePr summaryBelow="0" summaryRight="0"/>
  </sheetPr>
  <dimension ref="A1:T1002"/>
  <sheetViews>
    <sheetView workbookViewId="0">
      <selection activeCell="M17" sqref="M17"/>
    </sheetView>
  </sheetViews>
  <sheetFormatPr defaultColWidth="12.6640625" defaultRowHeight="15" customHeight="1" x14ac:dyDescent="0.25"/>
  <cols>
    <col min="1" max="1" width="6.21875" style="28" customWidth="1"/>
    <col min="2" max="2" width="12.6640625" style="28"/>
    <col min="3" max="3" width="15.88671875" style="28" customWidth="1"/>
    <col min="4" max="7" width="12.6640625" style="28"/>
    <col min="8" max="8" width="13.5546875" style="28" customWidth="1"/>
    <col min="9" max="9" width="23.6640625" style="28" customWidth="1"/>
    <col min="10" max="10" width="21.88671875" style="28" customWidth="1"/>
    <col min="11" max="13" width="12.6640625" style="28"/>
    <col min="14" max="14" width="17.33203125" style="31" customWidth="1"/>
    <col min="15" max="16384" width="12.6640625" style="28"/>
  </cols>
  <sheetData>
    <row r="1" spans="1:20" ht="13.2" x14ac:dyDescent="0.25">
      <c r="A1" s="24" t="s">
        <v>0</v>
      </c>
      <c r="B1" s="61" t="s">
        <v>1</v>
      </c>
      <c r="C1" s="62" t="s">
        <v>2</v>
      </c>
      <c r="D1" s="26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7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82" t="s">
        <v>13</v>
      </c>
    </row>
    <row r="2" spans="1:20" ht="15" customHeight="1" x14ac:dyDescent="0.3">
      <c r="A2" s="24">
        <v>1</v>
      </c>
      <c r="B2" s="27" t="s">
        <v>14</v>
      </c>
      <c r="C2" s="29">
        <v>4884.3500000000004</v>
      </c>
      <c r="D2" s="26">
        <v>145</v>
      </c>
      <c r="E2" s="26">
        <v>3</v>
      </c>
      <c r="F2" s="26">
        <v>2018</v>
      </c>
      <c r="G2" s="24" t="s">
        <v>15</v>
      </c>
      <c r="H2" s="24" t="b">
        <v>1</v>
      </c>
      <c r="I2" s="32" t="s">
        <v>16</v>
      </c>
      <c r="J2" s="26">
        <v>938</v>
      </c>
      <c r="K2" s="24" t="b">
        <v>0</v>
      </c>
      <c r="L2" s="27" t="s">
        <v>17</v>
      </c>
      <c r="M2" s="30">
        <v>43928</v>
      </c>
      <c r="N2" s="82">
        <v>708230</v>
      </c>
    </row>
    <row r="3" spans="1:20" ht="15" customHeight="1" x14ac:dyDescent="0.3">
      <c r="A3" s="24">
        <v>2</v>
      </c>
      <c r="B3" s="27" t="s">
        <v>14</v>
      </c>
      <c r="C3" s="29">
        <v>4539</v>
      </c>
      <c r="D3" s="26">
        <v>30</v>
      </c>
      <c r="E3" s="26">
        <v>5</v>
      </c>
      <c r="F3" s="26">
        <v>1965</v>
      </c>
      <c r="G3" s="24" t="s">
        <v>18</v>
      </c>
      <c r="H3" s="24" t="b">
        <v>0</v>
      </c>
      <c r="I3" s="32" t="s">
        <v>19</v>
      </c>
      <c r="J3" s="26">
        <v>773</v>
      </c>
      <c r="K3" s="24" t="b">
        <v>1</v>
      </c>
      <c r="L3" s="27" t="s">
        <v>17</v>
      </c>
      <c r="M3" s="30">
        <v>43227</v>
      </c>
      <c r="N3" s="82">
        <v>136180</v>
      </c>
    </row>
    <row r="4" spans="1:20" ht="15" customHeight="1" x14ac:dyDescent="0.3">
      <c r="A4" s="24">
        <v>3</v>
      </c>
      <c r="B4" s="27" t="s">
        <v>14</v>
      </c>
      <c r="C4" s="29">
        <v>6057.12</v>
      </c>
      <c r="D4" s="26">
        <v>77</v>
      </c>
      <c r="E4" s="26">
        <v>1</v>
      </c>
      <c r="F4" s="26">
        <v>2000</v>
      </c>
      <c r="G4" s="24" t="s">
        <v>15</v>
      </c>
      <c r="H4" s="24" t="b">
        <v>0</v>
      </c>
      <c r="I4" s="32" t="s">
        <v>20</v>
      </c>
      <c r="J4" s="26">
        <v>327</v>
      </c>
      <c r="K4" s="24" t="b">
        <v>0</v>
      </c>
      <c r="L4" s="27" t="s">
        <v>17</v>
      </c>
      <c r="M4" s="30">
        <v>43704</v>
      </c>
      <c r="N4" s="82">
        <v>466398</v>
      </c>
    </row>
    <row r="5" spans="1:20" ht="15" customHeight="1" x14ac:dyDescent="0.3">
      <c r="A5" s="24">
        <v>4</v>
      </c>
      <c r="B5" s="27" t="s">
        <v>14</v>
      </c>
      <c r="C5" s="29">
        <v>5361.4</v>
      </c>
      <c r="D5" s="26">
        <v>65</v>
      </c>
      <c r="E5" s="26">
        <v>1</v>
      </c>
      <c r="F5" s="26">
        <v>1973</v>
      </c>
      <c r="G5" s="24" t="s">
        <v>21</v>
      </c>
      <c r="H5" s="24" t="b">
        <v>1</v>
      </c>
      <c r="I5" s="32" t="s">
        <v>22</v>
      </c>
      <c r="J5" s="26">
        <v>1954</v>
      </c>
      <c r="K5" s="24" t="b">
        <v>1</v>
      </c>
      <c r="L5" s="27" t="s">
        <v>17</v>
      </c>
      <c r="M5" s="30">
        <v>43518</v>
      </c>
      <c r="N5" s="82">
        <v>348491</v>
      </c>
    </row>
    <row r="6" spans="1:20" ht="15" customHeight="1" x14ac:dyDescent="0.3">
      <c r="A6" s="24">
        <v>5</v>
      </c>
      <c r="B6" s="27" t="s">
        <v>14</v>
      </c>
      <c r="C6" s="29">
        <v>5821.9</v>
      </c>
      <c r="D6" s="26">
        <v>141</v>
      </c>
      <c r="E6" s="26">
        <v>3</v>
      </c>
      <c r="F6" s="26">
        <v>1999</v>
      </c>
      <c r="G6" s="24" t="s">
        <v>18</v>
      </c>
      <c r="H6" s="24" t="b">
        <v>0</v>
      </c>
      <c r="I6" s="32" t="s">
        <v>23</v>
      </c>
      <c r="J6" s="26">
        <v>1596</v>
      </c>
      <c r="K6" s="24" t="b">
        <v>0</v>
      </c>
      <c r="L6" s="27" t="s">
        <v>17</v>
      </c>
      <c r="M6" s="30">
        <v>44303</v>
      </c>
      <c r="N6" s="82">
        <v>820887</v>
      </c>
    </row>
    <row r="7" spans="1:20" ht="15" customHeight="1" x14ac:dyDescent="0.3">
      <c r="A7" s="24">
        <v>6</v>
      </c>
      <c r="B7" s="27" t="s">
        <v>14</v>
      </c>
      <c r="C7" s="29">
        <v>5261.06</v>
      </c>
      <c r="D7" s="26">
        <v>149</v>
      </c>
      <c r="E7" s="26">
        <v>1</v>
      </c>
      <c r="F7" s="26">
        <v>1983</v>
      </c>
      <c r="G7" s="24" t="s">
        <v>15</v>
      </c>
      <c r="H7" s="24" t="b">
        <v>0</v>
      </c>
      <c r="I7" s="32" t="s">
        <v>24</v>
      </c>
      <c r="J7" s="26">
        <v>922</v>
      </c>
      <c r="K7" s="24" t="b">
        <v>0</v>
      </c>
      <c r="L7" s="27" t="s">
        <v>17</v>
      </c>
      <c r="M7" s="30">
        <v>44484</v>
      </c>
      <c r="N7" s="82">
        <v>783897</v>
      </c>
    </row>
    <row r="8" spans="1:20" ht="15" customHeight="1" x14ac:dyDescent="0.3">
      <c r="A8" s="24">
        <v>7</v>
      </c>
      <c r="B8" s="27" t="s">
        <v>14</v>
      </c>
      <c r="C8" s="29">
        <v>6402.79</v>
      </c>
      <c r="D8" s="26">
        <v>59</v>
      </c>
      <c r="E8" s="26">
        <v>2</v>
      </c>
      <c r="F8" s="26">
        <v>1962</v>
      </c>
      <c r="G8" s="24" t="s">
        <v>15</v>
      </c>
      <c r="H8" s="24" t="b">
        <v>0</v>
      </c>
      <c r="I8" s="32" t="s">
        <v>25</v>
      </c>
      <c r="J8" s="26">
        <v>1769</v>
      </c>
      <c r="K8" s="24" t="b">
        <v>0</v>
      </c>
      <c r="L8" s="27" t="s">
        <v>17</v>
      </c>
      <c r="M8" s="30">
        <v>44582</v>
      </c>
      <c r="N8" s="82">
        <v>377764</v>
      </c>
      <c r="O8" s="24"/>
      <c r="P8" s="24"/>
      <c r="Q8" s="24"/>
      <c r="R8" s="24"/>
      <c r="S8" s="24"/>
      <c r="T8" s="24"/>
    </row>
    <row r="9" spans="1:20" ht="15" customHeight="1" x14ac:dyDescent="0.3">
      <c r="A9" s="24">
        <v>8</v>
      </c>
      <c r="B9" s="27" t="s">
        <v>26</v>
      </c>
      <c r="C9" s="29">
        <v>3893.67</v>
      </c>
      <c r="D9" s="26">
        <v>83</v>
      </c>
      <c r="E9" s="26">
        <v>2</v>
      </c>
      <c r="F9" s="26">
        <v>2001</v>
      </c>
      <c r="G9" s="24" t="s">
        <v>18</v>
      </c>
      <c r="H9" s="24" t="b">
        <v>1</v>
      </c>
      <c r="I9" s="32" t="s">
        <v>27</v>
      </c>
      <c r="J9" s="26">
        <v>662</v>
      </c>
      <c r="K9" s="24" t="b">
        <v>0</v>
      </c>
      <c r="L9" s="27" t="s">
        <v>17</v>
      </c>
      <c r="M9" s="30">
        <v>43217</v>
      </c>
      <c r="N9" s="82">
        <v>323174</v>
      </c>
      <c r="O9" s="24"/>
      <c r="P9" s="24"/>
      <c r="Q9" s="24"/>
      <c r="R9" s="24"/>
      <c r="S9" s="24"/>
      <c r="T9" s="24"/>
    </row>
    <row r="10" spans="1:20" ht="15" customHeight="1" x14ac:dyDescent="0.3">
      <c r="A10" s="24">
        <v>9</v>
      </c>
      <c r="B10" s="27" t="s">
        <v>26</v>
      </c>
      <c r="C10" s="29">
        <v>2380.25</v>
      </c>
      <c r="D10" s="26">
        <v>128</v>
      </c>
      <c r="E10" s="26">
        <v>2</v>
      </c>
      <c r="F10" s="26">
        <v>1961</v>
      </c>
      <c r="G10" s="24" t="s">
        <v>15</v>
      </c>
      <c r="H10" s="24" t="b">
        <v>0</v>
      </c>
      <c r="I10" s="32" t="s">
        <v>28</v>
      </c>
      <c r="J10" s="26">
        <v>1362</v>
      </c>
      <c r="K10" s="24" t="b">
        <v>0</v>
      </c>
      <c r="L10" s="27" t="s">
        <v>17</v>
      </c>
      <c r="M10" s="30">
        <v>43863</v>
      </c>
      <c r="N10" s="82">
        <v>304672</v>
      </c>
      <c r="O10" s="24"/>
      <c r="P10" s="24"/>
      <c r="Q10" s="24"/>
      <c r="R10" s="24"/>
      <c r="S10" s="24"/>
      <c r="T10" s="24"/>
    </row>
    <row r="11" spans="1:20" ht="15" customHeight="1" x14ac:dyDescent="0.3">
      <c r="A11" s="24">
        <v>10</v>
      </c>
      <c r="B11" s="27" t="s">
        <v>26</v>
      </c>
      <c r="C11" s="29">
        <v>4470.24</v>
      </c>
      <c r="D11" s="26">
        <v>70</v>
      </c>
      <c r="E11" s="26">
        <v>4</v>
      </c>
      <c r="F11" s="26">
        <v>1993</v>
      </c>
      <c r="G11" s="24" t="s">
        <v>29</v>
      </c>
      <c r="H11" s="24" t="b">
        <v>0</v>
      </c>
      <c r="I11" s="32" t="s">
        <v>30</v>
      </c>
      <c r="J11" s="26">
        <v>366</v>
      </c>
      <c r="K11" s="24" t="b">
        <v>0</v>
      </c>
      <c r="L11" s="27" t="s">
        <v>17</v>
      </c>
      <c r="M11" s="30">
        <v>44593</v>
      </c>
      <c r="N11" s="82">
        <v>312916</v>
      </c>
      <c r="O11" s="24"/>
      <c r="P11" s="24"/>
      <c r="Q11" s="24"/>
      <c r="R11" s="24"/>
      <c r="S11" s="24"/>
      <c r="T11" s="24"/>
    </row>
    <row r="12" spans="1:20" ht="15" customHeight="1" x14ac:dyDescent="0.3">
      <c r="A12" s="24">
        <v>11</v>
      </c>
      <c r="B12" s="27" t="s">
        <v>26</v>
      </c>
      <c r="C12" s="29">
        <v>5513.27</v>
      </c>
      <c r="D12" s="26">
        <v>129</v>
      </c>
      <c r="E12" s="26">
        <v>2</v>
      </c>
      <c r="F12" s="26">
        <v>1978</v>
      </c>
      <c r="G12" s="24" t="s">
        <v>15</v>
      </c>
      <c r="H12" s="24" t="b">
        <v>0</v>
      </c>
      <c r="I12" s="32" t="s">
        <v>31</v>
      </c>
      <c r="J12" s="26">
        <v>532</v>
      </c>
      <c r="K12" s="24" t="b">
        <v>0</v>
      </c>
      <c r="L12" s="27" t="s">
        <v>17</v>
      </c>
      <c r="M12" s="30">
        <v>44067</v>
      </c>
      <c r="N12" s="82">
        <v>711211</v>
      </c>
      <c r="O12" s="24"/>
      <c r="P12" s="24"/>
      <c r="Q12" s="24"/>
      <c r="R12" s="24"/>
      <c r="S12" s="24"/>
      <c r="T12" s="24"/>
    </row>
    <row r="13" spans="1:20" ht="15" customHeight="1" x14ac:dyDescent="0.3">
      <c r="A13" s="24">
        <v>12</v>
      </c>
      <c r="B13" s="27" t="s">
        <v>26</v>
      </c>
      <c r="C13" s="29">
        <v>3081.23</v>
      </c>
      <c r="D13" s="26">
        <v>139</v>
      </c>
      <c r="E13" s="26">
        <v>5</v>
      </c>
      <c r="F13" s="26">
        <v>1985</v>
      </c>
      <c r="G13" s="24" t="s">
        <v>29</v>
      </c>
      <c r="H13" s="24" t="b">
        <v>1</v>
      </c>
      <c r="I13" s="32" t="s">
        <v>32</v>
      </c>
      <c r="J13" s="26">
        <v>1176</v>
      </c>
      <c r="K13" s="24" t="b">
        <v>1</v>
      </c>
      <c r="L13" s="27" t="s">
        <v>17</v>
      </c>
      <c r="M13" s="30">
        <v>44495</v>
      </c>
      <c r="N13" s="82">
        <v>428290</v>
      </c>
      <c r="O13" s="24"/>
      <c r="P13" s="24"/>
      <c r="Q13" s="24"/>
      <c r="R13" s="24"/>
      <c r="S13" s="24"/>
      <c r="T13" s="24"/>
    </row>
    <row r="14" spans="1:20" ht="15" customHeight="1" x14ac:dyDescent="0.3">
      <c r="A14" s="24">
        <v>13</v>
      </c>
      <c r="B14" s="27" t="s">
        <v>26</v>
      </c>
      <c r="C14" s="29">
        <v>4973.49</v>
      </c>
      <c r="D14" s="26">
        <v>59</v>
      </c>
      <c r="E14" s="26">
        <v>4</v>
      </c>
      <c r="F14" s="26">
        <v>1973</v>
      </c>
      <c r="G14" s="24" t="s">
        <v>29</v>
      </c>
      <c r="H14" s="24" t="b">
        <v>0</v>
      </c>
      <c r="I14" s="32" t="s">
        <v>33</v>
      </c>
      <c r="J14" s="26">
        <v>1700</v>
      </c>
      <c r="K14" s="24" t="b">
        <v>1</v>
      </c>
      <c r="L14" s="27" t="s">
        <v>17</v>
      </c>
      <c r="M14" s="30">
        <v>43294</v>
      </c>
      <c r="N14" s="82">
        <v>293435</v>
      </c>
    </row>
    <row r="15" spans="1:20" ht="15" customHeight="1" x14ac:dyDescent="0.3">
      <c r="A15" s="24">
        <v>14</v>
      </c>
      <c r="B15" s="27" t="s">
        <v>26</v>
      </c>
      <c r="C15" s="29">
        <v>7463.24</v>
      </c>
      <c r="D15" s="26">
        <v>131</v>
      </c>
      <c r="E15" s="26">
        <v>4</v>
      </c>
      <c r="F15" s="26">
        <v>2011</v>
      </c>
      <c r="G15" s="24" t="s">
        <v>21</v>
      </c>
      <c r="H15" s="24" t="b">
        <v>1</v>
      </c>
      <c r="I15" s="32" t="s">
        <v>35</v>
      </c>
      <c r="J15" s="26">
        <v>1760</v>
      </c>
      <c r="K15" s="24" t="b">
        <v>1</v>
      </c>
      <c r="L15" s="27" t="s">
        <v>17</v>
      </c>
      <c r="M15" s="30">
        <v>44237</v>
      </c>
      <c r="N15" s="82">
        <v>977684</v>
      </c>
    </row>
    <row r="16" spans="1:20" ht="15" customHeight="1" x14ac:dyDescent="0.3">
      <c r="A16" s="24">
        <v>15</v>
      </c>
      <c r="B16" s="27" t="s">
        <v>26</v>
      </c>
      <c r="C16" s="29">
        <v>4009.46</v>
      </c>
      <c r="D16" s="26">
        <v>93</v>
      </c>
      <c r="E16" s="26">
        <v>5</v>
      </c>
      <c r="F16" s="26">
        <v>1961</v>
      </c>
      <c r="G16" s="24" t="s">
        <v>21</v>
      </c>
      <c r="H16" s="24" t="b">
        <v>1</v>
      </c>
      <c r="I16" s="32" t="s">
        <v>36</v>
      </c>
      <c r="J16" s="26">
        <v>1122</v>
      </c>
      <c r="K16" s="24" t="b">
        <v>0</v>
      </c>
      <c r="L16" s="27" t="s">
        <v>17</v>
      </c>
      <c r="M16" s="30">
        <v>44924</v>
      </c>
      <c r="N16" s="82">
        <v>372879</v>
      </c>
    </row>
    <row r="17" spans="1:14" ht="15" customHeight="1" x14ac:dyDescent="0.3">
      <c r="A17" s="24">
        <v>16</v>
      </c>
      <c r="B17" s="27" t="s">
        <v>26</v>
      </c>
      <c r="C17" s="29">
        <v>5473.59</v>
      </c>
      <c r="D17" s="26">
        <v>64</v>
      </c>
      <c r="E17" s="26">
        <v>1</v>
      </c>
      <c r="F17" s="26">
        <v>1965</v>
      </c>
      <c r="G17" s="24" t="s">
        <v>21</v>
      </c>
      <c r="H17" s="24" t="b">
        <v>1</v>
      </c>
      <c r="I17" s="32" t="s">
        <v>37</v>
      </c>
      <c r="J17" s="26">
        <v>528</v>
      </c>
      <c r="K17" s="24" t="b">
        <v>0</v>
      </c>
      <c r="L17" s="27" t="s">
        <v>17</v>
      </c>
      <c r="M17" s="30">
        <v>44891</v>
      </c>
      <c r="N17" s="82">
        <v>350309</v>
      </c>
    </row>
    <row r="18" spans="1:14" ht="15" customHeight="1" x14ac:dyDescent="0.3">
      <c r="A18" s="24">
        <v>17</v>
      </c>
      <c r="B18" s="27" t="s">
        <v>26</v>
      </c>
      <c r="C18" s="29">
        <v>4080.58</v>
      </c>
      <c r="D18" s="26">
        <v>93</v>
      </c>
      <c r="E18" s="26">
        <v>2</v>
      </c>
      <c r="F18" s="26">
        <v>2018</v>
      </c>
      <c r="G18" s="24" t="s">
        <v>29</v>
      </c>
      <c r="H18" s="24" t="b">
        <v>0</v>
      </c>
      <c r="I18" s="32" t="s">
        <v>39</v>
      </c>
      <c r="J18" s="26">
        <v>847</v>
      </c>
      <c r="K18" s="24" t="b">
        <v>0</v>
      </c>
      <c r="L18" s="27" t="s">
        <v>17</v>
      </c>
      <c r="M18" s="30">
        <v>43428</v>
      </c>
      <c r="N18" s="82">
        <v>379493</v>
      </c>
    </row>
    <row r="19" spans="1:14" ht="15" customHeight="1" x14ac:dyDescent="0.3">
      <c r="A19" s="24">
        <v>18</v>
      </c>
      <c r="B19" s="27" t="s">
        <v>38</v>
      </c>
      <c r="C19" s="29">
        <v>3012.43</v>
      </c>
      <c r="D19" s="26">
        <v>122</v>
      </c>
      <c r="E19" s="26">
        <v>4</v>
      </c>
      <c r="F19" s="26">
        <v>2010</v>
      </c>
      <c r="G19" s="24" t="s">
        <v>29</v>
      </c>
      <c r="H19" s="24" t="b">
        <v>0</v>
      </c>
      <c r="I19" s="32" t="s">
        <v>41</v>
      </c>
      <c r="J19" s="26">
        <v>425</v>
      </c>
      <c r="K19" s="24" t="b">
        <v>0</v>
      </c>
      <c r="L19" s="27" t="s">
        <v>17</v>
      </c>
      <c r="M19" s="30">
        <v>45091</v>
      </c>
      <c r="N19" s="82">
        <v>367516</v>
      </c>
    </row>
    <row r="20" spans="1:14" ht="15" customHeight="1" x14ac:dyDescent="0.3">
      <c r="A20" s="24">
        <v>19</v>
      </c>
      <c r="B20" s="27" t="s">
        <v>38</v>
      </c>
      <c r="C20" s="29">
        <v>4780.33</v>
      </c>
      <c r="D20" s="26">
        <v>47</v>
      </c>
      <c r="E20" s="26">
        <v>2</v>
      </c>
      <c r="F20" s="26">
        <v>2000</v>
      </c>
      <c r="G20" s="24" t="s">
        <v>18</v>
      </c>
      <c r="H20" s="24" t="b">
        <v>0</v>
      </c>
      <c r="I20" s="32" t="s">
        <v>42</v>
      </c>
      <c r="J20" s="26">
        <v>1111</v>
      </c>
      <c r="K20" s="24" t="b">
        <v>1</v>
      </c>
      <c r="L20" s="27" t="s">
        <v>17</v>
      </c>
      <c r="M20" s="30">
        <v>44304</v>
      </c>
      <c r="N20" s="82">
        <v>224675</v>
      </c>
    </row>
    <row r="21" spans="1:14" ht="15" customHeight="1" x14ac:dyDescent="0.3">
      <c r="A21" s="24">
        <v>20</v>
      </c>
      <c r="B21" s="27" t="s">
        <v>38</v>
      </c>
      <c r="C21" s="29">
        <v>5357.11</v>
      </c>
      <c r="D21" s="26">
        <v>139</v>
      </c>
      <c r="E21" s="26">
        <v>1</v>
      </c>
      <c r="F21" s="26">
        <v>1992</v>
      </c>
      <c r="G21" s="24" t="s">
        <v>15</v>
      </c>
      <c r="H21" s="24" t="b">
        <v>0</v>
      </c>
      <c r="I21" s="32" t="s">
        <v>43</v>
      </c>
      <c r="J21" s="26">
        <v>836</v>
      </c>
      <c r="K21" s="24" t="b">
        <v>1</v>
      </c>
      <c r="L21" s="27" t="s">
        <v>17</v>
      </c>
      <c r="M21" s="30">
        <v>43810</v>
      </c>
      <c r="N21" s="82">
        <v>744638</v>
      </c>
    </row>
    <row r="22" spans="1:14" ht="15" customHeight="1" x14ac:dyDescent="0.3">
      <c r="A22" s="24">
        <v>21</v>
      </c>
      <c r="B22" s="27" t="s">
        <v>38</v>
      </c>
      <c r="C22" s="29">
        <v>4838.71</v>
      </c>
      <c r="D22" s="26">
        <v>105</v>
      </c>
      <c r="E22" s="26">
        <v>5</v>
      </c>
      <c r="F22" s="26">
        <v>1985</v>
      </c>
      <c r="G22" s="24" t="s">
        <v>18</v>
      </c>
      <c r="H22" s="24" t="b">
        <v>1</v>
      </c>
      <c r="I22" s="32" t="s">
        <v>44</v>
      </c>
      <c r="J22" s="26">
        <v>1841</v>
      </c>
      <c r="K22" s="24" t="b">
        <v>1</v>
      </c>
      <c r="L22" s="27" t="s">
        <v>17</v>
      </c>
      <c r="M22" s="30">
        <v>45180</v>
      </c>
      <c r="N22" s="82">
        <v>508064</v>
      </c>
    </row>
    <row r="23" spans="1:14" ht="15" customHeight="1" x14ac:dyDescent="0.3">
      <c r="A23" s="24">
        <v>22</v>
      </c>
      <c r="B23" s="27" t="s">
        <v>38</v>
      </c>
      <c r="C23" s="29">
        <v>5791.03</v>
      </c>
      <c r="D23" s="26">
        <v>127</v>
      </c>
      <c r="E23" s="26">
        <v>3</v>
      </c>
      <c r="F23" s="26">
        <v>1966</v>
      </c>
      <c r="G23" s="24" t="s">
        <v>15</v>
      </c>
      <c r="H23" s="24" t="b">
        <v>1</v>
      </c>
      <c r="I23" s="32" t="s">
        <v>45</v>
      </c>
      <c r="J23" s="26">
        <v>1673</v>
      </c>
      <c r="K23" s="24" t="b">
        <v>0</v>
      </c>
      <c r="L23" s="27" t="s">
        <v>17</v>
      </c>
      <c r="M23" s="30">
        <v>43900</v>
      </c>
      <c r="N23" s="82">
        <v>735460</v>
      </c>
    </row>
    <row r="24" spans="1:14" ht="15" customHeight="1" x14ac:dyDescent="0.3">
      <c r="A24" s="24">
        <v>23</v>
      </c>
      <c r="B24" s="27" t="s">
        <v>38</v>
      </c>
      <c r="C24" s="29">
        <v>7190.46</v>
      </c>
      <c r="D24" s="26">
        <v>140</v>
      </c>
      <c r="E24" s="26">
        <v>2</v>
      </c>
      <c r="F24" s="26">
        <v>1998</v>
      </c>
      <c r="G24" s="24" t="s">
        <v>29</v>
      </c>
      <c r="H24" s="24" t="b">
        <v>0</v>
      </c>
      <c r="I24" s="32" t="s">
        <v>46</v>
      </c>
      <c r="J24" s="26">
        <v>1987</v>
      </c>
      <c r="K24" s="24" t="b">
        <v>0</v>
      </c>
      <c r="L24" s="27" t="s">
        <v>17</v>
      </c>
      <c r="M24" s="30">
        <v>43155</v>
      </c>
      <c r="N24" s="82">
        <v>1006664</v>
      </c>
    </row>
    <row r="25" spans="1:14" ht="15" customHeight="1" x14ac:dyDescent="0.3">
      <c r="A25" s="24">
        <v>24</v>
      </c>
      <c r="B25" s="27" t="s">
        <v>40</v>
      </c>
      <c r="C25" s="29">
        <v>4160.78</v>
      </c>
      <c r="D25" s="26">
        <v>48</v>
      </c>
      <c r="E25" s="26">
        <v>3</v>
      </c>
      <c r="F25" s="26">
        <v>1988</v>
      </c>
      <c r="G25" s="24" t="s">
        <v>15</v>
      </c>
      <c r="H25" s="24" t="b">
        <v>1</v>
      </c>
      <c r="I25" s="32" t="s">
        <v>47</v>
      </c>
      <c r="J25" s="26">
        <v>1182</v>
      </c>
      <c r="K25" s="24" t="b">
        <v>0</v>
      </c>
      <c r="L25" s="27" t="s">
        <v>17</v>
      </c>
      <c r="M25" s="30">
        <v>44955</v>
      </c>
      <c r="N25" s="82">
        <v>199717</v>
      </c>
    </row>
    <row r="26" spans="1:14" ht="15" customHeight="1" x14ac:dyDescent="0.3">
      <c r="A26" s="24">
        <v>25</v>
      </c>
      <c r="B26" s="27" t="s">
        <v>40</v>
      </c>
      <c r="C26" s="29">
        <v>5331.26</v>
      </c>
      <c r="D26" s="26">
        <v>109</v>
      </c>
      <c r="E26" s="26">
        <v>1</v>
      </c>
      <c r="F26" s="26">
        <v>1972</v>
      </c>
      <c r="G26" s="24" t="s">
        <v>15</v>
      </c>
      <c r="H26" s="24" t="b">
        <v>1</v>
      </c>
      <c r="I26" s="32" t="s">
        <v>48</v>
      </c>
      <c r="J26" s="26">
        <v>1326</v>
      </c>
      <c r="K26" s="24" t="b">
        <v>1</v>
      </c>
      <c r="L26" s="27" t="s">
        <v>17</v>
      </c>
      <c r="M26" s="30">
        <v>44036</v>
      </c>
      <c r="N26" s="82">
        <v>581107</v>
      </c>
    </row>
    <row r="27" spans="1:14" ht="15" customHeight="1" x14ac:dyDescent="0.3">
      <c r="A27" s="24">
        <v>26</v>
      </c>
      <c r="B27" s="27" t="s">
        <v>40</v>
      </c>
      <c r="C27" s="29">
        <v>3803.79</v>
      </c>
      <c r="D27" s="26">
        <v>149</v>
      </c>
      <c r="E27" s="26">
        <v>2</v>
      </c>
      <c r="F27" s="26">
        <v>1959</v>
      </c>
      <c r="G27" s="24" t="s">
        <v>21</v>
      </c>
      <c r="H27" s="24" t="b">
        <v>1</v>
      </c>
      <c r="I27" s="32" t="s">
        <v>49</v>
      </c>
      <c r="J27" s="26">
        <v>1831</v>
      </c>
      <c r="K27" s="24" t="b">
        <v>0</v>
      </c>
      <c r="L27" s="27" t="s">
        <v>17</v>
      </c>
      <c r="M27" s="30">
        <v>44037</v>
      </c>
      <c r="N27" s="82">
        <v>566764</v>
      </c>
    </row>
    <row r="28" spans="1:14" ht="15" customHeight="1" x14ac:dyDescent="0.3">
      <c r="A28" s="24">
        <v>27</v>
      </c>
      <c r="B28" s="27" t="s">
        <v>40</v>
      </c>
      <c r="C28" s="29">
        <v>5812.53</v>
      </c>
      <c r="D28" s="26">
        <v>62</v>
      </c>
      <c r="E28" s="26">
        <v>3</v>
      </c>
      <c r="F28" s="26">
        <v>1968</v>
      </c>
      <c r="G28" s="24" t="s">
        <v>29</v>
      </c>
      <c r="H28" s="24" t="b">
        <v>1</v>
      </c>
      <c r="I28" s="32" t="s">
        <v>50</v>
      </c>
      <c r="J28" s="26">
        <v>1597</v>
      </c>
      <c r="K28" s="24" t="b">
        <v>0</v>
      </c>
      <c r="L28" s="27" t="s">
        <v>17</v>
      </c>
      <c r="M28" s="30">
        <v>43675</v>
      </c>
      <c r="N28" s="82">
        <v>360376</v>
      </c>
    </row>
    <row r="29" spans="1:14" ht="15" customHeight="1" x14ac:dyDescent="0.3">
      <c r="A29" s="24">
        <v>28</v>
      </c>
      <c r="B29" s="27" t="s">
        <v>40</v>
      </c>
      <c r="C29" s="29">
        <v>4354.88</v>
      </c>
      <c r="D29" s="26">
        <v>101</v>
      </c>
      <c r="E29" s="26">
        <v>1</v>
      </c>
      <c r="F29" s="26">
        <v>1965</v>
      </c>
      <c r="G29" s="24" t="s">
        <v>29</v>
      </c>
      <c r="H29" s="24" t="b">
        <v>0</v>
      </c>
      <c r="I29" s="32" t="s">
        <v>51</v>
      </c>
      <c r="J29" s="26">
        <v>1515</v>
      </c>
      <c r="K29" s="24" t="b">
        <v>0</v>
      </c>
      <c r="L29" s="27" t="s">
        <v>17</v>
      </c>
      <c r="M29" s="30">
        <v>43575</v>
      </c>
      <c r="N29" s="82">
        <v>439842</v>
      </c>
    </row>
    <row r="30" spans="1:14" ht="15" customHeight="1" x14ac:dyDescent="0.3">
      <c r="A30" s="24">
        <v>29</v>
      </c>
      <c r="B30" s="27" t="s">
        <v>40</v>
      </c>
      <c r="C30" s="29">
        <v>5087.05</v>
      </c>
      <c r="D30" s="26">
        <v>118</v>
      </c>
      <c r="E30" s="26">
        <v>2</v>
      </c>
      <c r="F30" s="26">
        <v>1984</v>
      </c>
      <c r="G30" s="24" t="s">
        <v>18</v>
      </c>
      <c r="H30" s="24" t="b">
        <v>0</v>
      </c>
      <c r="I30" s="32" t="s">
        <v>52</v>
      </c>
      <c r="J30" s="26">
        <v>1554</v>
      </c>
      <c r="K30" s="24" t="b">
        <v>0</v>
      </c>
      <c r="L30" s="27" t="s">
        <v>17</v>
      </c>
      <c r="M30" s="30">
        <v>44306</v>
      </c>
      <c r="N30" s="82">
        <v>600271</v>
      </c>
    </row>
    <row r="31" spans="1:14" ht="15" customHeight="1" x14ac:dyDescent="0.3">
      <c r="A31" s="24">
        <v>30</v>
      </c>
      <c r="B31" s="27" t="s">
        <v>40</v>
      </c>
      <c r="C31" s="29">
        <v>4481.7299999999996</v>
      </c>
      <c r="D31" s="26">
        <v>95</v>
      </c>
      <c r="E31" s="26">
        <v>5</v>
      </c>
      <c r="F31" s="26">
        <v>2016</v>
      </c>
      <c r="G31" s="24" t="s">
        <v>21</v>
      </c>
      <c r="H31" s="24" t="b">
        <v>0</v>
      </c>
      <c r="I31" s="32" t="s">
        <v>53</v>
      </c>
      <c r="J31" s="26">
        <v>1848</v>
      </c>
      <c r="K31" s="24" t="b">
        <v>1</v>
      </c>
      <c r="L31" s="27" t="s">
        <v>17</v>
      </c>
      <c r="M31" s="30">
        <v>44285</v>
      </c>
      <c r="N31" s="82">
        <v>425764</v>
      </c>
    </row>
    <row r="32" spans="1:14" ht="15" customHeight="1" x14ac:dyDescent="0.3">
      <c r="A32" s="24">
        <v>31</v>
      </c>
      <c r="B32" s="27" t="s">
        <v>40</v>
      </c>
      <c r="C32" s="29">
        <v>4191.51</v>
      </c>
      <c r="D32" s="26">
        <v>83</v>
      </c>
      <c r="E32" s="26">
        <v>4</v>
      </c>
      <c r="F32" s="26">
        <v>2014</v>
      </c>
      <c r="G32" s="24" t="s">
        <v>29</v>
      </c>
      <c r="H32" s="24" t="b">
        <v>0</v>
      </c>
      <c r="I32" s="32" t="s">
        <v>55</v>
      </c>
      <c r="J32" s="26">
        <v>1535</v>
      </c>
      <c r="K32" s="24" t="b">
        <v>1</v>
      </c>
      <c r="L32" s="27" t="s">
        <v>17</v>
      </c>
      <c r="M32" s="30">
        <v>43385</v>
      </c>
      <c r="N32" s="82">
        <v>347895</v>
      </c>
    </row>
    <row r="33" spans="1:14" ht="14.4" x14ac:dyDescent="0.3">
      <c r="A33" s="24">
        <v>32</v>
      </c>
      <c r="B33" s="27" t="s">
        <v>40</v>
      </c>
      <c r="C33" s="29">
        <v>5296.12</v>
      </c>
      <c r="D33" s="26">
        <v>49</v>
      </c>
      <c r="E33" s="26">
        <v>2</v>
      </c>
      <c r="F33" s="26">
        <v>1975</v>
      </c>
      <c r="G33" s="24" t="s">
        <v>21</v>
      </c>
      <c r="H33" s="24" t="b">
        <v>0</v>
      </c>
      <c r="I33" s="32" t="s">
        <v>56</v>
      </c>
      <c r="J33" s="26">
        <v>333</v>
      </c>
      <c r="K33" s="24" t="b">
        <v>1</v>
      </c>
      <c r="L33" s="27" t="s">
        <v>17</v>
      </c>
      <c r="M33" s="30">
        <v>44825</v>
      </c>
      <c r="N33" s="82">
        <v>259509</v>
      </c>
    </row>
    <row r="34" spans="1:14" ht="14.4" x14ac:dyDescent="0.3">
      <c r="A34" s="24">
        <v>33</v>
      </c>
      <c r="B34" s="27" t="s">
        <v>40</v>
      </c>
      <c r="C34" s="29">
        <v>3831.32</v>
      </c>
      <c r="D34" s="26">
        <v>37</v>
      </c>
      <c r="E34" s="26">
        <v>2</v>
      </c>
      <c r="F34" s="26">
        <v>1962</v>
      </c>
      <c r="G34" s="24" t="s">
        <v>21</v>
      </c>
      <c r="H34" s="24" t="b">
        <v>0</v>
      </c>
      <c r="I34" s="32" t="s">
        <v>57</v>
      </c>
      <c r="J34" s="26">
        <v>1826</v>
      </c>
      <c r="K34" s="24" t="b">
        <v>0</v>
      </c>
      <c r="L34" s="27" t="s">
        <v>17</v>
      </c>
      <c r="M34" s="30">
        <v>43931</v>
      </c>
      <c r="N34" s="82">
        <v>141758</v>
      </c>
    </row>
    <row r="35" spans="1:14" ht="14.4" x14ac:dyDescent="0.3">
      <c r="A35" s="24">
        <v>34</v>
      </c>
      <c r="B35" s="27" t="s">
        <v>40</v>
      </c>
      <c r="C35" s="29">
        <v>4090.61</v>
      </c>
      <c r="D35" s="26">
        <v>50</v>
      </c>
      <c r="E35" s="26">
        <v>4</v>
      </c>
      <c r="F35" s="26">
        <v>2011</v>
      </c>
      <c r="G35" s="24" t="s">
        <v>29</v>
      </c>
      <c r="H35" s="24" t="b">
        <v>0</v>
      </c>
      <c r="I35" s="32" t="s">
        <v>58</v>
      </c>
      <c r="J35" s="26">
        <v>1142</v>
      </c>
      <c r="K35" s="24" t="b">
        <v>1</v>
      </c>
      <c r="L35" s="27" t="s">
        <v>17</v>
      </c>
      <c r="M35" s="30">
        <v>43878</v>
      </c>
      <c r="N35" s="82">
        <v>204530</v>
      </c>
    </row>
    <row r="36" spans="1:14" ht="14.4" x14ac:dyDescent="0.3">
      <c r="A36" s="24">
        <v>35</v>
      </c>
      <c r="B36" s="27" t="s">
        <v>40</v>
      </c>
      <c r="C36" s="29">
        <v>3598.15</v>
      </c>
      <c r="D36" s="26">
        <v>126</v>
      </c>
      <c r="E36" s="26">
        <v>2</v>
      </c>
      <c r="F36" s="26">
        <v>2008</v>
      </c>
      <c r="G36" s="24" t="s">
        <v>29</v>
      </c>
      <c r="H36" s="24" t="b">
        <v>0</v>
      </c>
      <c r="I36" s="32" t="s">
        <v>59</v>
      </c>
      <c r="J36" s="26">
        <v>649</v>
      </c>
      <c r="K36" s="24" t="b">
        <v>1</v>
      </c>
      <c r="L36" s="27" t="s">
        <v>17</v>
      </c>
      <c r="M36" s="30">
        <v>45002</v>
      </c>
      <c r="N36" s="82">
        <v>453366</v>
      </c>
    </row>
    <row r="37" spans="1:14" ht="14.4" x14ac:dyDescent="0.3">
      <c r="A37" s="24">
        <v>36</v>
      </c>
      <c r="B37" s="27" t="s">
        <v>40</v>
      </c>
      <c r="C37" s="29">
        <v>5099.6499999999996</v>
      </c>
      <c r="D37" s="26">
        <v>98</v>
      </c>
      <c r="E37" s="26">
        <v>4</v>
      </c>
      <c r="F37" s="26">
        <v>1968</v>
      </c>
      <c r="G37" s="24" t="s">
        <v>29</v>
      </c>
      <c r="H37" s="24" t="b">
        <v>1</v>
      </c>
      <c r="I37" s="32" t="s">
        <v>60</v>
      </c>
      <c r="J37" s="26">
        <v>1058</v>
      </c>
      <c r="K37" s="24" t="b">
        <v>1</v>
      </c>
      <c r="L37" s="27" t="s">
        <v>17</v>
      </c>
      <c r="M37" s="30">
        <v>43933</v>
      </c>
      <c r="N37" s="82">
        <v>499765</v>
      </c>
    </row>
    <row r="38" spans="1:14" ht="14.4" x14ac:dyDescent="0.3">
      <c r="A38" s="24">
        <v>37</v>
      </c>
      <c r="B38" s="27" t="s">
        <v>40</v>
      </c>
      <c r="C38" s="29">
        <v>4677.9399999999996</v>
      </c>
      <c r="D38" s="26">
        <v>73</v>
      </c>
      <c r="E38" s="26">
        <v>5</v>
      </c>
      <c r="F38" s="26">
        <v>2001</v>
      </c>
      <c r="G38" s="24" t="s">
        <v>18</v>
      </c>
      <c r="H38" s="24" t="b">
        <v>1</v>
      </c>
      <c r="I38" s="32" t="s">
        <v>61</v>
      </c>
      <c r="J38" s="26">
        <v>305</v>
      </c>
      <c r="K38" s="24" t="b">
        <v>1</v>
      </c>
      <c r="L38" s="27" t="s">
        <v>17</v>
      </c>
      <c r="M38" s="30">
        <v>44212</v>
      </c>
      <c r="N38" s="82">
        <v>341489</v>
      </c>
    </row>
    <row r="39" spans="1:14" ht="14.4" x14ac:dyDescent="0.3">
      <c r="A39" s="24">
        <v>38</v>
      </c>
      <c r="B39" s="27" t="s">
        <v>14</v>
      </c>
      <c r="C39" s="29">
        <v>5931.28</v>
      </c>
      <c r="D39" s="26">
        <v>128</v>
      </c>
      <c r="E39" s="26">
        <v>1</v>
      </c>
      <c r="F39" s="26">
        <v>1997</v>
      </c>
      <c r="G39" s="24" t="s">
        <v>15</v>
      </c>
      <c r="H39" s="24" t="b">
        <v>0</v>
      </c>
      <c r="I39" s="32" t="s">
        <v>49</v>
      </c>
      <c r="J39" s="26">
        <v>1635</v>
      </c>
      <c r="K39" s="24" t="b">
        <v>1</v>
      </c>
      <c r="L39" s="27" t="s">
        <v>54</v>
      </c>
      <c r="M39" s="30">
        <v>44306</v>
      </c>
      <c r="N39" s="82">
        <v>759203</v>
      </c>
    </row>
    <row r="40" spans="1:14" ht="14.4" x14ac:dyDescent="0.3">
      <c r="A40" s="24">
        <v>39</v>
      </c>
      <c r="B40" s="27" t="s">
        <v>14</v>
      </c>
      <c r="C40" s="29">
        <v>6538.04</v>
      </c>
      <c r="D40" s="26">
        <v>67</v>
      </c>
      <c r="E40" s="26">
        <v>3</v>
      </c>
      <c r="F40" s="26">
        <v>1951</v>
      </c>
      <c r="G40" s="24" t="s">
        <v>18</v>
      </c>
      <c r="H40" s="24" t="b">
        <v>1</v>
      </c>
      <c r="I40" s="32" t="s">
        <v>62</v>
      </c>
      <c r="J40" s="26">
        <v>784</v>
      </c>
      <c r="K40" s="24" t="b">
        <v>0</v>
      </c>
      <c r="L40" s="27" t="s">
        <v>54</v>
      </c>
      <c r="M40" s="30">
        <v>44039</v>
      </c>
      <c r="N40" s="82">
        <v>438048</v>
      </c>
    </row>
    <row r="41" spans="1:14" ht="14.4" x14ac:dyDescent="0.3">
      <c r="A41" s="24">
        <v>40</v>
      </c>
      <c r="B41" s="27" t="s">
        <v>14</v>
      </c>
      <c r="C41" s="29">
        <v>4700.99</v>
      </c>
      <c r="D41" s="26">
        <v>128</v>
      </c>
      <c r="E41" s="26">
        <v>1</v>
      </c>
      <c r="F41" s="26">
        <v>1982</v>
      </c>
      <c r="G41" s="24" t="s">
        <v>29</v>
      </c>
      <c r="H41" s="24" t="b">
        <v>0</v>
      </c>
      <c r="I41" s="32" t="s">
        <v>63</v>
      </c>
      <c r="J41" s="26">
        <v>385</v>
      </c>
      <c r="K41" s="24" t="b">
        <v>0</v>
      </c>
      <c r="L41" s="27" t="s">
        <v>54</v>
      </c>
      <c r="M41" s="30">
        <v>43764</v>
      </c>
      <c r="N41" s="82">
        <v>601726</v>
      </c>
    </row>
    <row r="42" spans="1:14" ht="14.4" x14ac:dyDescent="0.3">
      <c r="A42" s="24">
        <v>41</v>
      </c>
      <c r="B42" s="27" t="s">
        <v>14</v>
      </c>
      <c r="C42" s="29">
        <v>5091.76</v>
      </c>
      <c r="D42" s="26">
        <v>54</v>
      </c>
      <c r="E42" s="26">
        <v>5</v>
      </c>
      <c r="F42" s="26">
        <v>1982</v>
      </c>
      <c r="G42" s="24" t="s">
        <v>29</v>
      </c>
      <c r="H42" s="24" t="b">
        <v>0</v>
      </c>
      <c r="I42" s="32" t="s">
        <v>64</v>
      </c>
      <c r="J42" s="26">
        <v>1797</v>
      </c>
      <c r="K42" s="24" t="b">
        <v>1</v>
      </c>
      <c r="L42" s="27" t="s">
        <v>54</v>
      </c>
      <c r="M42" s="30">
        <v>43125</v>
      </c>
      <c r="N42" s="82">
        <v>274955</v>
      </c>
    </row>
    <row r="43" spans="1:14" ht="14.4" x14ac:dyDescent="0.3">
      <c r="A43" s="24">
        <v>42</v>
      </c>
      <c r="B43" s="27" t="s">
        <v>14</v>
      </c>
      <c r="C43" s="29">
        <v>4657.29</v>
      </c>
      <c r="D43" s="26">
        <v>36</v>
      </c>
      <c r="E43" s="26">
        <v>2</v>
      </c>
      <c r="F43" s="26">
        <v>2017</v>
      </c>
      <c r="G43" s="24" t="s">
        <v>29</v>
      </c>
      <c r="H43" s="24" t="b">
        <v>0</v>
      </c>
      <c r="I43" s="32" t="s">
        <v>65</v>
      </c>
      <c r="J43" s="26">
        <v>1047</v>
      </c>
      <c r="K43" s="24" t="b">
        <v>0</v>
      </c>
      <c r="L43" s="27" t="s">
        <v>54</v>
      </c>
      <c r="M43" s="30">
        <v>44893</v>
      </c>
      <c r="N43" s="82">
        <v>171554</v>
      </c>
    </row>
    <row r="44" spans="1:14" ht="14.4" x14ac:dyDescent="0.3">
      <c r="A44" s="24">
        <v>43</v>
      </c>
      <c r="B44" s="27" t="s">
        <v>14</v>
      </c>
      <c r="C44" s="29">
        <v>4657.29</v>
      </c>
      <c r="D44" s="26">
        <v>62</v>
      </c>
      <c r="E44" s="26">
        <v>5</v>
      </c>
      <c r="F44" s="26">
        <v>1985</v>
      </c>
      <c r="G44" s="24" t="s">
        <v>15</v>
      </c>
      <c r="H44" s="24" t="b">
        <v>1</v>
      </c>
      <c r="I44" s="32" t="s">
        <v>58</v>
      </c>
      <c r="J44" s="26">
        <v>724</v>
      </c>
      <c r="K44" s="24" t="b">
        <v>1</v>
      </c>
      <c r="L44" s="27" t="s">
        <v>54</v>
      </c>
      <c r="M44" s="30">
        <v>44052</v>
      </c>
      <c r="N44" s="82">
        <v>288751</v>
      </c>
    </row>
    <row r="45" spans="1:14" ht="14.4" x14ac:dyDescent="0.3">
      <c r="A45" s="24">
        <v>44</v>
      </c>
      <c r="B45" s="27" t="s">
        <v>14</v>
      </c>
      <c r="C45" s="29">
        <v>5174.58</v>
      </c>
      <c r="D45" s="26">
        <v>115</v>
      </c>
      <c r="E45" s="26">
        <v>4</v>
      </c>
      <c r="F45" s="26">
        <v>1973</v>
      </c>
      <c r="G45" s="24" t="s">
        <v>15</v>
      </c>
      <c r="H45" s="24" t="b">
        <v>0</v>
      </c>
      <c r="I45" s="32" t="s">
        <v>66</v>
      </c>
      <c r="J45" s="26">
        <v>1643</v>
      </c>
      <c r="K45" s="24" t="b">
        <v>1</v>
      </c>
      <c r="L45" s="27" t="s">
        <v>54</v>
      </c>
      <c r="M45" s="30">
        <v>43386</v>
      </c>
      <c r="N45" s="82">
        <v>595076</v>
      </c>
    </row>
    <row r="46" spans="1:14" ht="14.4" x14ac:dyDescent="0.3">
      <c r="A46" s="24">
        <v>45</v>
      </c>
      <c r="B46" s="27" t="s">
        <v>26</v>
      </c>
      <c r="C46" s="29">
        <v>3236.96</v>
      </c>
      <c r="D46" s="26">
        <v>98</v>
      </c>
      <c r="E46" s="26">
        <v>3</v>
      </c>
      <c r="F46" s="26">
        <v>1978</v>
      </c>
      <c r="G46" s="24" t="s">
        <v>15</v>
      </c>
      <c r="H46" s="24" t="b">
        <v>1</v>
      </c>
      <c r="I46" s="32" t="s">
        <v>67</v>
      </c>
      <c r="J46" s="26">
        <v>1539</v>
      </c>
      <c r="K46" s="24" t="b">
        <v>0</v>
      </c>
      <c r="L46" s="27" t="s">
        <v>54</v>
      </c>
      <c r="M46" s="30">
        <v>44114</v>
      </c>
      <c r="N46" s="82">
        <v>317222</v>
      </c>
    </row>
    <row r="47" spans="1:14" ht="14.4" x14ac:dyDescent="0.3">
      <c r="A47" s="24">
        <v>46</v>
      </c>
      <c r="B47" s="27" t="s">
        <v>26</v>
      </c>
      <c r="C47" s="29">
        <v>4520.83</v>
      </c>
      <c r="D47" s="26">
        <v>49</v>
      </c>
      <c r="E47" s="26">
        <v>2</v>
      </c>
      <c r="F47" s="26">
        <v>2018</v>
      </c>
      <c r="G47" s="24" t="s">
        <v>29</v>
      </c>
      <c r="H47" s="24" t="b">
        <v>1</v>
      </c>
      <c r="I47" s="32" t="s">
        <v>68</v>
      </c>
      <c r="J47" s="26">
        <v>1218</v>
      </c>
      <c r="K47" s="24" t="b">
        <v>0</v>
      </c>
      <c r="L47" s="27" t="s">
        <v>54</v>
      </c>
      <c r="M47" s="30">
        <v>44433</v>
      </c>
      <c r="N47" s="82">
        <v>221520</v>
      </c>
    </row>
    <row r="48" spans="1:14" ht="14.4" x14ac:dyDescent="0.3">
      <c r="A48" s="24">
        <v>47</v>
      </c>
      <c r="B48" s="27" t="s">
        <v>26</v>
      </c>
      <c r="C48" s="29">
        <v>6477.89</v>
      </c>
      <c r="D48" s="26">
        <v>111</v>
      </c>
      <c r="E48" s="26">
        <v>4</v>
      </c>
      <c r="F48" s="26">
        <v>1961</v>
      </c>
      <c r="G48" s="24" t="s">
        <v>21</v>
      </c>
      <c r="H48" s="24" t="b">
        <v>1</v>
      </c>
      <c r="I48" s="32" t="s">
        <v>69</v>
      </c>
      <c r="J48" s="26">
        <v>444</v>
      </c>
      <c r="K48" s="24" t="b">
        <v>0</v>
      </c>
      <c r="L48" s="27" t="s">
        <v>54</v>
      </c>
      <c r="M48" s="30">
        <v>44980</v>
      </c>
      <c r="N48" s="82">
        <v>719045</v>
      </c>
    </row>
    <row r="49" spans="1:14" ht="14.4" x14ac:dyDescent="0.3">
      <c r="A49" s="24">
        <v>48</v>
      </c>
      <c r="B49" s="27" t="s">
        <v>26</v>
      </c>
      <c r="C49" s="29">
        <v>5968.64</v>
      </c>
      <c r="D49" s="26">
        <v>97</v>
      </c>
      <c r="E49" s="26">
        <v>3</v>
      </c>
      <c r="F49" s="26">
        <v>1961</v>
      </c>
      <c r="G49" s="24" t="s">
        <v>29</v>
      </c>
      <c r="H49" s="24" t="b">
        <v>0</v>
      </c>
      <c r="I49" s="32" t="s">
        <v>70</v>
      </c>
      <c r="J49" s="26">
        <v>1469</v>
      </c>
      <c r="K49" s="24" t="b">
        <v>1</v>
      </c>
      <c r="L49" s="27" t="s">
        <v>54</v>
      </c>
      <c r="M49" s="30">
        <v>44208</v>
      </c>
      <c r="N49" s="82">
        <v>578958</v>
      </c>
    </row>
    <row r="50" spans="1:14" ht="14.4" x14ac:dyDescent="0.3">
      <c r="A50" s="24">
        <v>49</v>
      </c>
      <c r="B50" s="27" t="s">
        <v>26</v>
      </c>
      <c r="C50" s="29">
        <v>5404.05</v>
      </c>
      <c r="D50" s="26">
        <v>88</v>
      </c>
      <c r="E50" s="26">
        <v>4</v>
      </c>
      <c r="F50" s="26">
        <v>1959</v>
      </c>
      <c r="G50" s="24" t="s">
        <v>18</v>
      </c>
      <c r="H50" s="24" t="b">
        <v>0</v>
      </c>
      <c r="I50" s="32" t="s">
        <v>71</v>
      </c>
      <c r="J50" s="26">
        <v>991</v>
      </c>
      <c r="K50" s="24" t="b">
        <v>1</v>
      </c>
      <c r="L50" s="27" t="s">
        <v>54</v>
      </c>
      <c r="M50" s="30">
        <v>43529</v>
      </c>
      <c r="N50" s="82">
        <v>475556</v>
      </c>
    </row>
    <row r="51" spans="1:14" ht="14.4" x14ac:dyDescent="0.3">
      <c r="A51" s="24">
        <v>50</v>
      </c>
      <c r="B51" s="27" t="s">
        <v>26</v>
      </c>
      <c r="C51" s="29">
        <v>4496.5200000000004</v>
      </c>
      <c r="D51" s="26">
        <v>90</v>
      </c>
      <c r="E51" s="26">
        <v>5</v>
      </c>
      <c r="F51" s="26">
        <v>1958</v>
      </c>
      <c r="G51" s="24" t="s">
        <v>15</v>
      </c>
      <c r="H51" s="24" t="b">
        <v>1</v>
      </c>
      <c r="I51" s="32" t="s">
        <v>72</v>
      </c>
      <c r="J51" s="26">
        <v>1198</v>
      </c>
      <c r="K51" s="24" t="b">
        <v>1</v>
      </c>
      <c r="L51" s="27" t="s">
        <v>54</v>
      </c>
      <c r="M51" s="30">
        <v>43413</v>
      </c>
      <c r="N51" s="82">
        <v>404686</v>
      </c>
    </row>
    <row r="52" spans="1:14" ht="14.4" x14ac:dyDescent="0.3">
      <c r="A52" s="24">
        <v>51</v>
      </c>
      <c r="B52" s="27" t="s">
        <v>26</v>
      </c>
      <c r="C52" s="29">
        <v>3937.7</v>
      </c>
      <c r="D52" s="26">
        <v>33</v>
      </c>
      <c r="E52" s="26">
        <v>2</v>
      </c>
      <c r="F52" s="26">
        <v>2001</v>
      </c>
      <c r="G52" s="24" t="s">
        <v>29</v>
      </c>
      <c r="H52" s="24" t="b">
        <v>0</v>
      </c>
      <c r="I52" s="32" t="s">
        <v>73</v>
      </c>
      <c r="J52" s="26">
        <v>1363</v>
      </c>
      <c r="K52" s="24" t="b">
        <v>0</v>
      </c>
      <c r="L52" s="27" t="s">
        <v>54</v>
      </c>
      <c r="M52" s="30">
        <v>45107</v>
      </c>
      <c r="N52" s="82">
        <v>129944</v>
      </c>
    </row>
    <row r="53" spans="1:14" ht="14.4" x14ac:dyDescent="0.3">
      <c r="A53" s="24">
        <v>52</v>
      </c>
      <c r="B53" s="27" t="s">
        <v>26</v>
      </c>
      <c r="C53" s="29">
        <v>6549.93</v>
      </c>
      <c r="D53" s="26">
        <v>78</v>
      </c>
      <c r="E53" s="26">
        <v>1</v>
      </c>
      <c r="F53" s="26">
        <v>1961</v>
      </c>
      <c r="G53" s="24" t="s">
        <v>18</v>
      </c>
      <c r="H53" s="24" t="b">
        <v>0</v>
      </c>
      <c r="I53" s="32" t="s">
        <v>74</v>
      </c>
      <c r="J53" s="26">
        <v>1219</v>
      </c>
      <c r="K53" s="24" t="b">
        <v>1</v>
      </c>
      <c r="L53" s="27" t="s">
        <v>54</v>
      </c>
      <c r="M53" s="30">
        <v>44388</v>
      </c>
      <c r="N53" s="82">
        <v>510894</v>
      </c>
    </row>
    <row r="54" spans="1:14" ht="14.4" x14ac:dyDescent="0.3">
      <c r="A54" s="24">
        <v>53</v>
      </c>
      <c r="B54" s="27" t="s">
        <v>26</v>
      </c>
      <c r="C54" s="29">
        <v>4216.75</v>
      </c>
      <c r="D54" s="26">
        <v>46</v>
      </c>
      <c r="E54" s="26">
        <v>5</v>
      </c>
      <c r="F54" s="26">
        <v>1974</v>
      </c>
      <c r="G54" s="24" t="s">
        <v>29</v>
      </c>
      <c r="H54" s="24" t="b">
        <v>1</v>
      </c>
      <c r="I54" s="32" t="s">
        <v>75</v>
      </c>
      <c r="J54" s="26">
        <v>1546</v>
      </c>
      <c r="K54" s="24" t="b">
        <v>0</v>
      </c>
      <c r="L54" s="27" t="s">
        <v>54</v>
      </c>
      <c r="M54" s="30">
        <v>45244</v>
      </c>
      <c r="N54" s="82">
        <v>193970</v>
      </c>
    </row>
    <row r="55" spans="1:14" ht="14.4" x14ac:dyDescent="0.3">
      <c r="A55" s="24">
        <v>54</v>
      </c>
      <c r="B55" s="27" t="s">
        <v>26</v>
      </c>
      <c r="C55" s="29">
        <v>5813.52</v>
      </c>
      <c r="D55" s="26">
        <v>121</v>
      </c>
      <c r="E55" s="26">
        <v>1</v>
      </c>
      <c r="F55" s="26">
        <v>2002</v>
      </c>
      <c r="G55" s="24" t="s">
        <v>18</v>
      </c>
      <c r="H55" s="24" t="b">
        <v>1</v>
      </c>
      <c r="I55" s="32" t="s">
        <v>76</v>
      </c>
      <c r="J55" s="26">
        <v>1645</v>
      </c>
      <c r="K55" s="24" t="b">
        <v>1</v>
      </c>
      <c r="L55" s="27" t="s">
        <v>54</v>
      </c>
      <c r="M55" s="30">
        <v>44412</v>
      </c>
      <c r="N55" s="82">
        <v>703435</v>
      </c>
    </row>
    <row r="56" spans="1:14" ht="14.4" x14ac:dyDescent="0.3">
      <c r="A56" s="24">
        <v>55</v>
      </c>
      <c r="B56" s="27" t="s">
        <v>38</v>
      </c>
      <c r="C56" s="29">
        <v>5738.47</v>
      </c>
      <c r="D56" s="26">
        <v>119</v>
      </c>
      <c r="E56" s="26">
        <v>5</v>
      </c>
      <c r="F56" s="26">
        <v>2013</v>
      </c>
      <c r="G56" s="24" t="s">
        <v>21</v>
      </c>
      <c r="H56" s="24" t="b">
        <v>1</v>
      </c>
      <c r="I56" s="32" t="s">
        <v>77</v>
      </c>
      <c r="J56" s="26">
        <v>1018</v>
      </c>
      <c r="K56" s="24" t="b">
        <v>0</v>
      </c>
      <c r="L56" s="27" t="s">
        <v>54</v>
      </c>
      <c r="M56" s="30">
        <v>44085</v>
      </c>
      <c r="N56" s="82">
        <v>682877</v>
      </c>
    </row>
    <row r="57" spans="1:14" ht="14.4" x14ac:dyDescent="0.3">
      <c r="A57" s="24">
        <v>56</v>
      </c>
      <c r="B57" s="27" t="s">
        <v>38</v>
      </c>
      <c r="C57" s="29">
        <v>5343.62</v>
      </c>
      <c r="D57" s="26">
        <v>41</v>
      </c>
      <c r="E57" s="26">
        <v>5</v>
      </c>
      <c r="F57" s="26">
        <v>2006</v>
      </c>
      <c r="G57" s="24" t="s">
        <v>18</v>
      </c>
      <c r="H57" s="24" t="b">
        <v>1</v>
      </c>
      <c r="I57" s="32" t="s">
        <v>78</v>
      </c>
      <c r="J57" s="26">
        <v>377</v>
      </c>
      <c r="K57" s="24" t="b">
        <v>0</v>
      </c>
      <c r="L57" s="27" t="s">
        <v>54</v>
      </c>
      <c r="M57" s="30">
        <v>45029</v>
      </c>
      <c r="N57" s="82">
        <v>219088</v>
      </c>
    </row>
    <row r="58" spans="1:14" ht="14.4" x14ac:dyDescent="0.3">
      <c r="A58" s="24">
        <v>57</v>
      </c>
      <c r="B58" s="27" t="s">
        <v>38</v>
      </c>
      <c r="C58" s="29">
        <v>5738.47</v>
      </c>
      <c r="D58" s="26">
        <v>66</v>
      </c>
      <c r="E58" s="26">
        <v>4</v>
      </c>
      <c r="F58" s="26">
        <v>2018</v>
      </c>
      <c r="G58" s="24" t="s">
        <v>18</v>
      </c>
      <c r="H58" s="24" t="b">
        <v>0</v>
      </c>
      <c r="I58" s="32" t="s">
        <v>79</v>
      </c>
      <c r="J58" s="26">
        <v>1709</v>
      </c>
      <c r="K58" s="24" t="b">
        <v>1</v>
      </c>
      <c r="L58" s="27" t="s">
        <v>54</v>
      </c>
      <c r="M58" s="30">
        <v>43151</v>
      </c>
      <c r="N58" s="82">
        <v>351389</v>
      </c>
    </row>
    <row r="59" spans="1:14" ht="14.4" x14ac:dyDescent="0.3">
      <c r="A59" s="24">
        <v>58</v>
      </c>
      <c r="B59" s="27" t="s">
        <v>38</v>
      </c>
      <c r="C59" s="29">
        <v>5611.68</v>
      </c>
      <c r="D59" s="26">
        <v>38</v>
      </c>
      <c r="E59" s="26">
        <v>5</v>
      </c>
      <c r="F59" s="26">
        <v>2018</v>
      </c>
      <c r="G59" s="24" t="s">
        <v>15</v>
      </c>
      <c r="H59" s="24" t="b">
        <v>1</v>
      </c>
      <c r="I59" s="32" t="s">
        <v>80</v>
      </c>
      <c r="J59" s="26">
        <v>825</v>
      </c>
      <c r="K59" s="24" t="b">
        <v>0</v>
      </c>
      <c r="L59" s="27" t="s">
        <v>54</v>
      </c>
      <c r="M59" s="30">
        <v>44737</v>
      </c>
      <c r="N59" s="82">
        <v>213243</v>
      </c>
    </row>
    <row r="60" spans="1:14" ht="14.4" x14ac:dyDescent="0.3">
      <c r="A60" s="24">
        <v>59</v>
      </c>
      <c r="B60" s="27" t="s">
        <v>38</v>
      </c>
      <c r="C60" s="29">
        <v>5328.75</v>
      </c>
      <c r="D60" s="26">
        <v>90</v>
      </c>
      <c r="E60" s="26">
        <v>3</v>
      </c>
      <c r="F60" s="26">
        <v>1992</v>
      </c>
      <c r="G60" s="24" t="s">
        <v>21</v>
      </c>
      <c r="H60" s="24" t="b">
        <v>0</v>
      </c>
      <c r="I60" s="32" t="s">
        <v>81</v>
      </c>
      <c r="J60" s="26">
        <v>1717</v>
      </c>
      <c r="K60" s="24" t="b">
        <v>0</v>
      </c>
      <c r="L60" s="27" t="s">
        <v>54</v>
      </c>
      <c r="M60" s="30">
        <v>43762</v>
      </c>
      <c r="N60" s="82">
        <v>479587</v>
      </c>
    </row>
    <row r="61" spans="1:14" ht="14.4" x14ac:dyDescent="0.3">
      <c r="A61" s="24">
        <v>60</v>
      </c>
      <c r="B61" s="27" t="s">
        <v>38</v>
      </c>
      <c r="C61" s="29">
        <v>3584.63</v>
      </c>
      <c r="D61" s="26">
        <v>96</v>
      </c>
      <c r="E61" s="26">
        <v>3</v>
      </c>
      <c r="F61" s="26">
        <v>2007</v>
      </c>
      <c r="G61" s="24" t="s">
        <v>21</v>
      </c>
      <c r="H61" s="24" t="b">
        <v>1</v>
      </c>
      <c r="I61" s="32" t="s">
        <v>82</v>
      </c>
      <c r="J61" s="26">
        <v>894</v>
      </c>
      <c r="K61" s="24" t="b">
        <v>1</v>
      </c>
      <c r="L61" s="27" t="s">
        <v>54</v>
      </c>
      <c r="M61" s="30">
        <v>44860</v>
      </c>
      <c r="N61" s="82">
        <v>344124</v>
      </c>
    </row>
    <row r="62" spans="1:14" ht="14.4" x14ac:dyDescent="0.3">
      <c r="A62" s="24">
        <v>61</v>
      </c>
      <c r="B62" s="27" t="s">
        <v>38</v>
      </c>
      <c r="C62" s="29">
        <v>4579.3500000000004</v>
      </c>
      <c r="D62" s="26">
        <v>46</v>
      </c>
      <c r="E62" s="26">
        <v>4</v>
      </c>
      <c r="F62" s="26">
        <v>1978</v>
      </c>
      <c r="G62" s="24" t="s">
        <v>18</v>
      </c>
      <c r="H62" s="24" t="b">
        <v>1</v>
      </c>
      <c r="I62" s="32" t="s">
        <v>83</v>
      </c>
      <c r="J62" s="26">
        <v>1877</v>
      </c>
      <c r="K62" s="24" t="b">
        <v>1</v>
      </c>
      <c r="L62" s="27" t="s">
        <v>54</v>
      </c>
      <c r="M62" s="30">
        <v>44090</v>
      </c>
      <c r="N62" s="82">
        <v>210650</v>
      </c>
    </row>
    <row r="63" spans="1:14" ht="14.4" x14ac:dyDescent="0.3">
      <c r="A63" s="24">
        <v>62</v>
      </c>
      <c r="B63" s="27" t="s">
        <v>38</v>
      </c>
      <c r="C63" s="29">
        <v>5586.86</v>
      </c>
      <c r="D63" s="26">
        <v>57</v>
      </c>
      <c r="E63" s="26">
        <v>5</v>
      </c>
      <c r="F63" s="26">
        <v>1968</v>
      </c>
      <c r="G63" s="24" t="s">
        <v>15</v>
      </c>
      <c r="H63" s="24" t="b">
        <v>0</v>
      </c>
      <c r="I63" s="32" t="s">
        <v>79</v>
      </c>
      <c r="J63" s="26">
        <v>1930</v>
      </c>
      <c r="K63" s="24" t="b">
        <v>1</v>
      </c>
      <c r="L63" s="27" t="s">
        <v>54</v>
      </c>
      <c r="M63" s="30">
        <v>45235</v>
      </c>
      <c r="N63" s="82">
        <v>318451</v>
      </c>
    </row>
    <row r="64" spans="1:14" ht="14.4" x14ac:dyDescent="0.3">
      <c r="A64" s="24">
        <v>63</v>
      </c>
      <c r="B64" s="27" t="s">
        <v>40</v>
      </c>
      <c r="C64" s="29">
        <v>5171.37</v>
      </c>
      <c r="D64" s="26">
        <v>141</v>
      </c>
      <c r="E64" s="26">
        <v>5</v>
      </c>
      <c r="F64" s="26">
        <v>2012</v>
      </c>
      <c r="G64" s="24" t="s">
        <v>29</v>
      </c>
      <c r="H64" s="24" t="b">
        <v>0</v>
      </c>
      <c r="I64" s="32" t="s">
        <v>84</v>
      </c>
      <c r="J64" s="26">
        <v>602</v>
      </c>
      <c r="K64" s="24" t="b">
        <v>1</v>
      </c>
      <c r="L64" s="27" t="s">
        <v>54</v>
      </c>
      <c r="M64" s="30">
        <v>44740</v>
      </c>
      <c r="N64" s="82">
        <v>729163</v>
      </c>
    </row>
    <row r="65" spans="1:14" ht="14.4" x14ac:dyDescent="0.3">
      <c r="A65" s="24">
        <v>64</v>
      </c>
      <c r="B65" s="27" t="s">
        <v>40</v>
      </c>
      <c r="C65" s="29">
        <v>4690.79</v>
      </c>
      <c r="D65" s="26">
        <v>77</v>
      </c>
      <c r="E65" s="26">
        <v>2</v>
      </c>
      <c r="F65" s="26">
        <v>1982</v>
      </c>
      <c r="G65" s="24" t="s">
        <v>18</v>
      </c>
      <c r="H65" s="24" t="b">
        <v>0</v>
      </c>
      <c r="I65" s="32" t="s">
        <v>85</v>
      </c>
      <c r="J65" s="26">
        <v>1330</v>
      </c>
      <c r="K65" s="24" t="b">
        <v>0</v>
      </c>
      <c r="L65" s="27" t="s">
        <v>54</v>
      </c>
      <c r="M65" s="30">
        <v>43667</v>
      </c>
      <c r="N65" s="82">
        <v>361190</v>
      </c>
    </row>
    <row r="66" spans="1:14" ht="14.4" x14ac:dyDescent="0.3">
      <c r="A66" s="24">
        <v>65</v>
      </c>
      <c r="B66" s="27" t="s">
        <v>40</v>
      </c>
      <c r="C66" s="29">
        <v>4964.17</v>
      </c>
      <c r="D66" s="26">
        <v>133</v>
      </c>
      <c r="E66" s="26">
        <v>5</v>
      </c>
      <c r="F66" s="26">
        <v>1981</v>
      </c>
      <c r="G66" s="24" t="s">
        <v>29</v>
      </c>
      <c r="H66" s="24" t="b">
        <v>1</v>
      </c>
      <c r="I66" s="32" t="s">
        <v>86</v>
      </c>
      <c r="J66" s="26">
        <v>327</v>
      </c>
      <c r="K66" s="24" t="b">
        <v>1</v>
      </c>
      <c r="L66" s="27" t="s">
        <v>54</v>
      </c>
      <c r="M66" s="30">
        <v>44055</v>
      </c>
      <c r="N66" s="82">
        <v>660234</v>
      </c>
    </row>
    <row r="67" spans="1:14" ht="14.4" x14ac:dyDescent="0.3">
      <c r="A67" s="24">
        <v>66</v>
      </c>
      <c r="B67" s="27" t="s">
        <v>40</v>
      </c>
      <c r="C67" s="29">
        <v>5257.55</v>
      </c>
      <c r="D67" s="26">
        <v>148</v>
      </c>
      <c r="E67" s="26">
        <v>5</v>
      </c>
      <c r="F67" s="26">
        <v>2013</v>
      </c>
      <c r="G67" s="24" t="s">
        <v>18</v>
      </c>
      <c r="H67" s="24" t="b">
        <v>0</v>
      </c>
      <c r="I67" s="32" t="s">
        <v>87</v>
      </c>
      <c r="J67" s="26">
        <v>1766</v>
      </c>
      <c r="K67" s="24" t="b">
        <v>0</v>
      </c>
      <c r="L67" s="27" t="s">
        <v>54</v>
      </c>
      <c r="M67" s="30">
        <v>45166</v>
      </c>
      <c r="N67" s="82">
        <v>778117</v>
      </c>
    </row>
    <row r="68" spans="1:14" ht="14.4" x14ac:dyDescent="0.3">
      <c r="A68" s="24">
        <v>67</v>
      </c>
      <c r="B68" s="27" t="s">
        <v>40</v>
      </c>
      <c r="C68" s="29">
        <v>5751.93</v>
      </c>
      <c r="D68" s="26">
        <v>56</v>
      </c>
      <c r="E68" s="26">
        <v>1</v>
      </c>
      <c r="F68" s="26">
        <v>1979</v>
      </c>
      <c r="G68" s="24" t="s">
        <v>29</v>
      </c>
      <c r="H68" s="24" t="b">
        <v>1</v>
      </c>
      <c r="I68" s="32" t="s">
        <v>88</v>
      </c>
      <c r="J68" s="26">
        <v>815</v>
      </c>
      <c r="K68" s="24" t="b">
        <v>0</v>
      </c>
      <c r="L68" s="27" t="s">
        <v>54</v>
      </c>
      <c r="M68" s="30">
        <v>43155</v>
      </c>
      <c r="N68" s="82">
        <v>322108</v>
      </c>
    </row>
    <row r="69" spans="1:14" ht="14.4" x14ac:dyDescent="0.3">
      <c r="A69" s="24">
        <v>68</v>
      </c>
      <c r="B69" s="27" t="s">
        <v>40</v>
      </c>
      <c r="C69" s="29">
        <v>3449.34</v>
      </c>
      <c r="D69" s="26">
        <v>77</v>
      </c>
      <c r="E69" s="26">
        <v>1</v>
      </c>
      <c r="F69" s="26">
        <v>2020</v>
      </c>
      <c r="G69" s="24" t="s">
        <v>21</v>
      </c>
      <c r="H69" s="24" t="b">
        <v>0</v>
      </c>
      <c r="I69" s="32" t="s">
        <v>89</v>
      </c>
      <c r="J69" s="26">
        <v>542</v>
      </c>
      <c r="K69" s="24" t="b">
        <v>0</v>
      </c>
      <c r="L69" s="27" t="s">
        <v>54</v>
      </c>
      <c r="M69" s="30">
        <v>44959</v>
      </c>
      <c r="N69" s="82">
        <v>265599</v>
      </c>
    </row>
    <row r="70" spans="1:14" ht="14.4" x14ac:dyDescent="0.3">
      <c r="A70" s="24">
        <v>69</v>
      </c>
      <c r="B70" s="27" t="s">
        <v>40</v>
      </c>
      <c r="C70" s="29">
        <v>5099.6499999999996</v>
      </c>
      <c r="D70" s="26">
        <v>48</v>
      </c>
      <c r="E70" s="26">
        <v>2</v>
      </c>
      <c r="F70" s="26">
        <v>1977</v>
      </c>
      <c r="G70" s="24" t="s">
        <v>29</v>
      </c>
      <c r="H70" s="24" t="b">
        <v>1</v>
      </c>
      <c r="I70" s="32" t="s">
        <v>90</v>
      </c>
      <c r="J70" s="26">
        <v>842</v>
      </c>
      <c r="K70" s="24" t="b">
        <v>0</v>
      </c>
      <c r="L70" s="27" t="s">
        <v>54</v>
      </c>
      <c r="M70" s="30">
        <v>45108</v>
      </c>
      <c r="N70" s="82">
        <v>243290</v>
      </c>
    </row>
    <row r="71" spans="1:14" ht="14.4" x14ac:dyDescent="0.3">
      <c r="A71" s="24">
        <v>70</v>
      </c>
      <c r="B71" s="27" t="s">
        <v>14</v>
      </c>
      <c r="C71" s="29">
        <v>4814.34</v>
      </c>
      <c r="D71" s="26">
        <v>53</v>
      </c>
      <c r="E71" s="26">
        <v>3</v>
      </c>
      <c r="F71" s="26">
        <v>1983</v>
      </c>
      <c r="G71" s="24" t="s">
        <v>18</v>
      </c>
      <c r="H71" s="24" t="b">
        <v>0</v>
      </c>
      <c r="I71" s="32" t="s">
        <v>91</v>
      </c>
      <c r="J71" s="26">
        <v>1049</v>
      </c>
      <c r="K71" s="24" t="b">
        <v>1</v>
      </c>
      <c r="L71" s="27" t="s">
        <v>34</v>
      </c>
      <c r="M71" s="30">
        <v>43302</v>
      </c>
      <c r="N71" s="82">
        <v>255160</v>
      </c>
    </row>
    <row r="72" spans="1:14" ht="14.4" x14ac:dyDescent="0.3">
      <c r="A72" s="24">
        <v>71</v>
      </c>
      <c r="B72" s="27" t="s">
        <v>14</v>
      </c>
      <c r="C72" s="29">
        <v>4197.72</v>
      </c>
      <c r="D72" s="26">
        <v>77</v>
      </c>
      <c r="E72" s="26">
        <v>1</v>
      </c>
      <c r="F72" s="26">
        <v>1970</v>
      </c>
      <c r="G72" s="24" t="s">
        <v>15</v>
      </c>
      <c r="H72" s="24" t="b">
        <v>1</v>
      </c>
      <c r="I72" s="32" t="s">
        <v>92</v>
      </c>
      <c r="J72" s="26">
        <v>912</v>
      </c>
      <c r="K72" s="24" t="b">
        <v>1</v>
      </c>
      <c r="L72" s="27" t="s">
        <v>34</v>
      </c>
      <c r="M72" s="30">
        <v>43823</v>
      </c>
      <c r="N72" s="82">
        <v>323224</v>
      </c>
    </row>
    <row r="73" spans="1:14" ht="14.4" x14ac:dyDescent="0.3">
      <c r="A73" s="24">
        <v>72</v>
      </c>
      <c r="B73" s="27" t="s">
        <v>14</v>
      </c>
      <c r="C73" s="29">
        <v>5060.2299999999996</v>
      </c>
      <c r="D73" s="26">
        <v>67</v>
      </c>
      <c r="E73" s="26">
        <v>3</v>
      </c>
      <c r="F73" s="26">
        <v>1972</v>
      </c>
      <c r="G73" s="24" t="s">
        <v>18</v>
      </c>
      <c r="H73" s="24" t="b">
        <v>1</v>
      </c>
      <c r="I73" s="32" t="s">
        <v>93</v>
      </c>
      <c r="J73" s="26">
        <v>1612</v>
      </c>
      <c r="K73" s="24" t="b">
        <v>0</v>
      </c>
      <c r="L73" s="27" t="s">
        <v>34</v>
      </c>
      <c r="M73" s="30">
        <v>44088</v>
      </c>
      <c r="N73" s="82">
        <v>339035</v>
      </c>
    </row>
    <row r="74" spans="1:14" ht="14.4" x14ac:dyDescent="0.3">
      <c r="A74" s="24">
        <v>73</v>
      </c>
      <c r="B74" s="27" t="s">
        <v>14</v>
      </c>
      <c r="C74" s="29">
        <v>4807.6400000000003</v>
      </c>
      <c r="D74" s="26">
        <v>138</v>
      </c>
      <c r="E74" s="26">
        <v>5</v>
      </c>
      <c r="F74" s="26">
        <v>1986</v>
      </c>
      <c r="G74" s="24" t="s">
        <v>18</v>
      </c>
      <c r="H74" s="24" t="b">
        <v>0</v>
      </c>
      <c r="I74" s="32" t="s">
        <v>94</v>
      </c>
      <c r="J74" s="26">
        <v>961</v>
      </c>
      <c r="K74" s="24" t="b">
        <v>1</v>
      </c>
      <c r="L74" s="27" t="s">
        <v>34</v>
      </c>
      <c r="M74" s="30">
        <v>45262</v>
      </c>
      <c r="N74" s="82">
        <v>663454</v>
      </c>
    </row>
    <row r="75" spans="1:14" ht="14.4" x14ac:dyDescent="0.3">
      <c r="A75" s="24">
        <v>74</v>
      </c>
      <c r="B75" s="27" t="s">
        <v>14</v>
      </c>
      <c r="C75" s="29">
        <v>4433.7</v>
      </c>
      <c r="D75" s="26">
        <v>126</v>
      </c>
      <c r="E75" s="26">
        <v>1</v>
      </c>
      <c r="F75" s="26">
        <v>2010</v>
      </c>
      <c r="G75" s="24" t="s">
        <v>18</v>
      </c>
      <c r="H75" s="24" t="b">
        <v>1</v>
      </c>
      <c r="I75" s="32" t="s">
        <v>95</v>
      </c>
      <c r="J75" s="26">
        <v>1460</v>
      </c>
      <c r="K75" s="24" t="b">
        <v>1</v>
      </c>
      <c r="L75" s="27" t="s">
        <v>34</v>
      </c>
      <c r="M75" s="30">
        <v>44302</v>
      </c>
      <c r="N75" s="82">
        <v>558646</v>
      </c>
    </row>
    <row r="76" spans="1:14" ht="14.4" x14ac:dyDescent="0.3">
      <c r="A76" s="24">
        <v>75</v>
      </c>
      <c r="B76" s="27" t="s">
        <v>14</v>
      </c>
      <c r="C76" s="29">
        <v>3769.14</v>
      </c>
      <c r="D76" s="26">
        <v>59</v>
      </c>
      <c r="E76" s="26">
        <v>5</v>
      </c>
      <c r="F76" s="26">
        <v>1972</v>
      </c>
      <c r="G76" s="24" t="s">
        <v>21</v>
      </c>
      <c r="H76" s="24" t="b">
        <v>1</v>
      </c>
      <c r="I76" s="32" t="s">
        <v>96</v>
      </c>
      <c r="J76" s="26">
        <v>767</v>
      </c>
      <c r="K76" s="24" t="b">
        <v>1</v>
      </c>
      <c r="L76" s="27" t="s">
        <v>34</v>
      </c>
      <c r="M76" s="30">
        <v>43552</v>
      </c>
      <c r="N76" s="82">
        <v>222379</v>
      </c>
    </row>
    <row r="77" spans="1:14" ht="14.4" x14ac:dyDescent="0.3">
      <c r="A77" s="24">
        <v>76</v>
      </c>
      <c r="B77" s="27" t="s">
        <v>26</v>
      </c>
      <c r="C77" s="29">
        <v>6356.24</v>
      </c>
      <c r="D77" s="26">
        <v>53</v>
      </c>
      <c r="E77" s="26">
        <v>2</v>
      </c>
      <c r="F77" s="26">
        <v>2007</v>
      </c>
      <c r="G77" s="24" t="s">
        <v>29</v>
      </c>
      <c r="H77" s="24" t="b">
        <v>1</v>
      </c>
      <c r="I77" s="32" t="s">
        <v>97</v>
      </c>
      <c r="J77" s="26">
        <v>1829</v>
      </c>
      <c r="K77" s="24" t="b">
        <v>0</v>
      </c>
      <c r="L77" s="27" t="s">
        <v>34</v>
      </c>
      <c r="M77" s="30">
        <v>43637</v>
      </c>
      <c r="N77" s="82">
        <v>336880</v>
      </c>
    </row>
    <row r="78" spans="1:14" ht="14.4" x14ac:dyDescent="0.3">
      <c r="A78" s="24">
        <v>77</v>
      </c>
      <c r="B78" s="27" t="s">
        <v>26</v>
      </c>
      <c r="C78" s="29">
        <v>4927.99</v>
      </c>
      <c r="D78" s="26">
        <v>145</v>
      </c>
      <c r="E78" s="26">
        <v>2</v>
      </c>
      <c r="F78" s="26">
        <v>1950</v>
      </c>
      <c r="G78" s="24" t="s">
        <v>18</v>
      </c>
      <c r="H78" s="24" t="b">
        <v>0</v>
      </c>
      <c r="I78" s="32" t="s">
        <v>98</v>
      </c>
      <c r="J78" s="26">
        <v>1105</v>
      </c>
      <c r="K78" s="24" t="b">
        <v>1</v>
      </c>
      <c r="L78" s="27" t="s">
        <v>34</v>
      </c>
      <c r="M78" s="30">
        <v>44726</v>
      </c>
      <c r="N78" s="82">
        <v>714558</v>
      </c>
    </row>
    <row r="79" spans="1:14" ht="14.4" x14ac:dyDescent="0.3">
      <c r="A79" s="24">
        <v>78</v>
      </c>
      <c r="B79" s="27" t="s">
        <v>26</v>
      </c>
      <c r="C79" s="29">
        <v>6003.53</v>
      </c>
      <c r="D79" s="26">
        <v>104</v>
      </c>
      <c r="E79" s="26">
        <v>2</v>
      </c>
      <c r="F79" s="26">
        <v>2018</v>
      </c>
      <c r="G79" s="24" t="s">
        <v>15</v>
      </c>
      <c r="H79" s="24" t="b">
        <v>0</v>
      </c>
      <c r="I79" s="32" t="s">
        <v>99</v>
      </c>
      <c r="J79" s="26">
        <v>1038</v>
      </c>
      <c r="K79" s="24" t="b">
        <v>0</v>
      </c>
      <c r="L79" s="27" t="s">
        <v>34</v>
      </c>
      <c r="M79" s="30">
        <v>45223</v>
      </c>
      <c r="N79" s="82">
        <v>624367</v>
      </c>
    </row>
    <row r="80" spans="1:14" ht="14.4" x14ac:dyDescent="0.3">
      <c r="A80" s="24">
        <v>79</v>
      </c>
      <c r="B80" s="27" t="s">
        <v>26</v>
      </c>
      <c r="C80" s="29">
        <v>6564.64</v>
      </c>
      <c r="D80" s="26">
        <v>113</v>
      </c>
      <c r="E80" s="26">
        <v>2</v>
      </c>
      <c r="F80" s="26">
        <v>1973</v>
      </c>
      <c r="G80" s="24" t="s">
        <v>18</v>
      </c>
      <c r="H80" s="24" t="b">
        <v>0</v>
      </c>
      <c r="I80" s="32" t="s">
        <v>100</v>
      </c>
      <c r="J80" s="26">
        <v>1013</v>
      </c>
      <c r="K80" s="24" t="b">
        <v>1</v>
      </c>
      <c r="L80" s="27" t="s">
        <v>34</v>
      </c>
      <c r="M80" s="30">
        <v>43976</v>
      </c>
      <c r="N80" s="82">
        <v>741804</v>
      </c>
    </row>
    <row r="81" spans="1:14" ht="14.4" x14ac:dyDescent="0.3">
      <c r="A81" s="24">
        <v>80</v>
      </c>
      <c r="B81" s="27" t="s">
        <v>26</v>
      </c>
      <c r="C81" s="29">
        <v>4973.49</v>
      </c>
      <c r="D81" s="26">
        <v>51</v>
      </c>
      <c r="E81" s="26">
        <v>4</v>
      </c>
      <c r="F81" s="26">
        <v>1998</v>
      </c>
      <c r="G81" s="24" t="s">
        <v>15</v>
      </c>
      <c r="H81" s="24" t="b">
        <v>1</v>
      </c>
      <c r="I81" s="32" t="s">
        <v>101</v>
      </c>
      <c r="J81" s="26">
        <v>614</v>
      </c>
      <c r="K81" s="24" t="b">
        <v>0</v>
      </c>
      <c r="L81" s="27" t="s">
        <v>34</v>
      </c>
      <c r="M81" s="30">
        <v>43869</v>
      </c>
      <c r="N81" s="82">
        <v>251203</v>
      </c>
    </row>
    <row r="82" spans="1:14" ht="14.4" x14ac:dyDescent="0.3">
      <c r="A82" s="24">
        <v>81</v>
      </c>
      <c r="B82" s="27" t="s">
        <v>26</v>
      </c>
      <c r="C82" s="29">
        <v>5301.55</v>
      </c>
      <c r="D82" s="26">
        <v>80</v>
      </c>
      <c r="E82" s="26">
        <v>2</v>
      </c>
      <c r="F82" s="26">
        <v>1961</v>
      </c>
      <c r="G82" s="24" t="s">
        <v>18</v>
      </c>
      <c r="H82" s="24" t="b">
        <v>0</v>
      </c>
      <c r="I82" s="32" t="s">
        <v>102</v>
      </c>
      <c r="J82" s="26">
        <v>576</v>
      </c>
      <c r="K82" s="24" t="b">
        <v>1</v>
      </c>
      <c r="L82" s="27" t="s">
        <v>34</v>
      </c>
      <c r="M82" s="30">
        <v>44802</v>
      </c>
      <c r="N82" s="82">
        <v>424124</v>
      </c>
    </row>
    <row r="83" spans="1:14" ht="14.4" x14ac:dyDescent="0.3">
      <c r="A83" s="24">
        <v>82</v>
      </c>
      <c r="B83" s="27" t="s">
        <v>38</v>
      </c>
      <c r="C83" s="29">
        <v>4698.8999999999996</v>
      </c>
      <c r="D83" s="26">
        <v>89</v>
      </c>
      <c r="E83" s="26">
        <v>4</v>
      </c>
      <c r="F83" s="26">
        <v>1971</v>
      </c>
      <c r="G83" s="24" t="s">
        <v>29</v>
      </c>
      <c r="H83" s="24" t="b">
        <v>1</v>
      </c>
      <c r="I83" s="32" t="s">
        <v>103</v>
      </c>
      <c r="J83" s="26">
        <v>355</v>
      </c>
      <c r="K83" s="24" t="b">
        <v>1</v>
      </c>
      <c r="L83" s="27" t="s">
        <v>34</v>
      </c>
      <c r="M83" s="30">
        <v>43456</v>
      </c>
      <c r="N83" s="82">
        <v>418202</v>
      </c>
    </row>
    <row r="84" spans="1:14" ht="14.4" x14ac:dyDescent="0.3">
      <c r="A84" s="24">
        <v>83</v>
      </c>
      <c r="B84" s="27" t="s">
        <v>38</v>
      </c>
      <c r="C84" s="29">
        <v>3521.48</v>
      </c>
      <c r="D84" s="26">
        <v>142</v>
      </c>
      <c r="E84" s="26">
        <v>1</v>
      </c>
      <c r="F84" s="26">
        <v>2016</v>
      </c>
      <c r="G84" s="24" t="s">
        <v>29</v>
      </c>
      <c r="H84" s="24" t="b">
        <v>1</v>
      </c>
      <c r="I84" s="32" t="s">
        <v>104</v>
      </c>
      <c r="J84" s="26">
        <v>1025</v>
      </c>
      <c r="K84" s="24" t="b">
        <v>0</v>
      </c>
      <c r="L84" s="27" t="s">
        <v>34</v>
      </c>
      <c r="M84" s="30">
        <v>44448</v>
      </c>
      <c r="N84" s="82">
        <v>500050</v>
      </c>
    </row>
    <row r="85" spans="1:14" ht="14.4" x14ac:dyDescent="0.3">
      <c r="A85" s="24">
        <v>84</v>
      </c>
      <c r="B85" s="27" t="s">
        <v>38</v>
      </c>
      <c r="C85" s="29">
        <v>4614.92</v>
      </c>
      <c r="D85" s="26">
        <v>61</v>
      </c>
      <c r="E85" s="26">
        <v>1</v>
      </c>
      <c r="F85" s="26">
        <v>1996</v>
      </c>
      <c r="G85" s="24" t="s">
        <v>29</v>
      </c>
      <c r="H85" s="24" t="b">
        <v>1</v>
      </c>
      <c r="I85" s="32" t="s">
        <v>105</v>
      </c>
      <c r="J85" s="26">
        <v>664</v>
      </c>
      <c r="K85" s="24" t="b">
        <v>0</v>
      </c>
      <c r="L85" s="27" t="s">
        <v>34</v>
      </c>
      <c r="M85" s="30">
        <v>44531</v>
      </c>
      <c r="N85" s="82">
        <v>281510</v>
      </c>
    </row>
    <row r="86" spans="1:14" ht="14.4" x14ac:dyDescent="0.3">
      <c r="A86" s="24">
        <v>85</v>
      </c>
      <c r="B86" s="27" t="s">
        <v>38</v>
      </c>
      <c r="C86" s="29">
        <v>4323.08</v>
      </c>
      <c r="D86" s="26">
        <v>148</v>
      </c>
      <c r="E86" s="26">
        <v>4</v>
      </c>
      <c r="F86" s="26">
        <v>2011</v>
      </c>
      <c r="G86" s="24" t="s">
        <v>15</v>
      </c>
      <c r="H86" s="24" t="b">
        <v>0</v>
      </c>
      <c r="I86" s="32" t="s">
        <v>106</v>
      </c>
      <c r="J86" s="26">
        <v>965</v>
      </c>
      <c r="K86" s="24" t="b">
        <v>1</v>
      </c>
      <c r="L86" s="27" t="s">
        <v>34</v>
      </c>
      <c r="M86" s="30">
        <v>44893</v>
      </c>
      <c r="N86" s="82">
        <v>639815</v>
      </c>
    </row>
    <row r="87" spans="1:14" ht="14.4" x14ac:dyDescent="0.3">
      <c r="A87" s="24">
        <v>86</v>
      </c>
      <c r="B87" s="27" t="s">
        <v>38</v>
      </c>
      <c r="C87" s="29">
        <v>5975.55</v>
      </c>
      <c r="D87" s="26">
        <v>32</v>
      </c>
      <c r="E87" s="26">
        <v>2</v>
      </c>
      <c r="F87" s="26">
        <v>1959</v>
      </c>
      <c r="G87" s="24" t="s">
        <v>21</v>
      </c>
      <c r="H87" s="24" t="b">
        <v>1</v>
      </c>
      <c r="I87" s="32" t="s">
        <v>107</v>
      </c>
      <c r="J87" s="26">
        <v>1946</v>
      </c>
      <c r="K87" s="24" t="b">
        <v>1</v>
      </c>
      <c r="L87" s="27" t="s">
        <v>34</v>
      </c>
      <c r="M87" s="30">
        <v>45035</v>
      </c>
      <c r="N87" s="82">
        <v>191217</v>
      </c>
    </row>
    <row r="88" spans="1:14" ht="14.4" x14ac:dyDescent="0.3">
      <c r="A88" s="24">
        <v>87</v>
      </c>
      <c r="B88" s="27" t="s">
        <v>38</v>
      </c>
      <c r="C88" s="29">
        <v>5097.08</v>
      </c>
      <c r="D88" s="26">
        <v>62</v>
      </c>
      <c r="E88" s="26">
        <v>2</v>
      </c>
      <c r="F88" s="26">
        <v>1962</v>
      </c>
      <c r="G88" s="24" t="s">
        <v>15</v>
      </c>
      <c r="H88" s="24" t="b">
        <v>0</v>
      </c>
      <c r="I88" s="32" t="s">
        <v>108</v>
      </c>
      <c r="J88" s="26">
        <v>408</v>
      </c>
      <c r="K88" s="24" t="b">
        <v>0</v>
      </c>
      <c r="L88" s="27" t="s">
        <v>34</v>
      </c>
      <c r="M88" s="30">
        <v>43949</v>
      </c>
      <c r="N88" s="82">
        <v>316018</v>
      </c>
    </row>
    <row r="89" spans="1:14" ht="14.4" x14ac:dyDescent="0.3">
      <c r="A89" s="24">
        <v>88</v>
      </c>
      <c r="B89" s="27" t="s">
        <v>38</v>
      </c>
      <c r="C89" s="29">
        <v>4297.95</v>
      </c>
      <c r="D89" s="26">
        <v>62</v>
      </c>
      <c r="E89" s="26">
        <v>1</v>
      </c>
      <c r="F89" s="26">
        <v>1995</v>
      </c>
      <c r="G89" s="24" t="s">
        <v>29</v>
      </c>
      <c r="H89" s="24" t="b">
        <v>0</v>
      </c>
      <c r="I89" s="32" t="s">
        <v>109</v>
      </c>
      <c r="J89" s="26">
        <v>410</v>
      </c>
      <c r="K89" s="24" t="b">
        <v>1</v>
      </c>
      <c r="L89" s="27" t="s">
        <v>34</v>
      </c>
      <c r="M89" s="30">
        <v>43789</v>
      </c>
      <c r="N89" s="82">
        <v>266472</v>
      </c>
    </row>
    <row r="90" spans="1:14" ht="14.4" x14ac:dyDescent="0.3">
      <c r="A90" s="24">
        <v>89</v>
      </c>
      <c r="B90" s="27" t="s">
        <v>38</v>
      </c>
      <c r="C90" s="29">
        <v>4607.8900000000003</v>
      </c>
      <c r="D90" s="26">
        <v>50</v>
      </c>
      <c r="E90" s="26">
        <v>5</v>
      </c>
      <c r="F90" s="26">
        <v>1984</v>
      </c>
      <c r="G90" s="24" t="s">
        <v>21</v>
      </c>
      <c r="H90" s="24" t="b">
        <v>1</v>
      </c>
      <c r="I90" s="32" t="s">
        <v>32</v>
      </c>
      <c r="J90" s="26">
        <v>410</v>
      </c>
      <c r="K90" s="24" t="b">
        <v>0</v>
      </c>
      <c r="L90" s="27" t="s">
        <v>34</v>
      </c>
      <c r="M90" s="30">
        <v>43442</v>
      </c>
      <c r="N90" s="82">
        <v>230394</v>
      </c>
    </row>
    <row r="91" spans="1:14" ht="14.4" x14ac:dyDescent="0.3">
      <c r="A91" s="24">
        <v>90</v>
      </c>
      <c r="B91" s="27" t="s">
        <v>38</v>
      </c>
      <c r="C91" s="29">
        <v>5005.1099999999997</v>
      </c>
      <c r="D91" s="26">
        <v>37</v>
      </c>
      <c r="E91" s="26">
        <v>4</v>
      </c>
      <c r="F91" s="26">
        <v>1956</v>
      </c>
      <c r="G91" s="24" t="s">
        <v>15</v>
      </c>
      <c r="H91" s="24" t="b">
        <v>1</v>
      </c>
      <c r="I91" s="32" t="s">
        <v>110</v>
      </c>
      <c r="J91" s="26">
        <v>1692</v>
      </c>
      <c r="K91" s="24" t="b">
        <v>0</v>
      </c>
      <c r="L91" s="27" t="s">
        <v>34</v>
      </c>
      <c r="M91" s="30">
        <v>43427</v>
      </c>
      <c r="N91" s="82">
        <v>185189</v>
      </c>
    </row>
    <row r="92" spans="1:14" ht="14.4" x14ac:dyDescent="0.3">
      <c r="A92" s="24">
        <v>91</v>
      </c>
      <c r="B92" s="27" t="s">
        <v>38</v>
      </c>
      <c r="C92" s="29">
        <v>6142.82</v>
      </c>
      <c r="D92" s="26">
        <v>56</v>
      </c>
      <c r="E92" s="26">
        <v>3</v>
      </c>
      <c r="F92" s="26">
        <v>1972</v>
      </c>
      <c r="G92" s="24" t="s">
        <v>21</v>
      </c>
      <c r="H92" s="24" t="b">
        <v>1</v>
      </c>
      <c r="I92" s="32" t="s">
        <v>111</v>
      </c>
      <c r="J92" s="26">
        <v>923</v>
      </c>
      <c r="K92" s="24" t="b">
        <v>0</v>
      </c>
      <c r="L92" s="27" t="s">
        <v>34</v>
      </c>
      <c r="M92" s="30">
        <v>45021</v>
      </c>
      <c r="N92" s="82">
        <v>343997</v>
      </c>
    </row>
    <row r="93" spans="1:14" ht="14.4" x14ac:dyDescent="0.3">
      <c r="A93" s="24">
        <v>92</v>
      </c>
      <c r="B93" s="27" t="s">
        <v>40</v>
      </c>
      <c r="C93" s="29">
        <v>4280.16</v>
      </c>
      <c r="D93" s="26">
        <v>31</v>
      </c>
      <c r="E93" s="26">
        <v>5</v>
      </c>
      <c r="F93" s="26">
        <v>1975</v>
      </c>
      <c r="G93" s="24" t="s">
        <v>18</v>
      </c>
      <c r="H93" s="24" t="b">
        <v>1</v>
      </c>
      <c r="I93" s="32" t="s">
        <v>112</v>
      </c>
      <c r="J93" s="26">
        <v>825</v>
      </c>
      <c r="K93" s="24" t="b">
        <v>0</v>
      </c>
      <c r="L93" s="27" t="s">
        <v>34</v>
      </c>
      <c r="M93" s="30">
        <v>44964</v>
      </c>
      <c r="N93" s="82">
        <v>132684</v>
      </c>
    </row>
    <row r="94" spans="1:14" ht="14.4" x14ac:dyDescent="0.3">
      <c r="A94" s="24">
        <v>93</v>
      </c>
      <c r="B94" s="27" t="s">
        <v>40</v>
      </c>
      <c r="C94" s="29">
        <v>6031</v>
      </c>
      <c r="D94" s="26">
        <v>134</v>
      </c>
      <c r="E94" s="26">
        <v>5</v>
      </c>
      <c r="F94" s="26">
        <v>1965</v>
      </c>
      <c r="G94" s="24" t="s">
        <v>29</v>
      </c>
      <c r="H94" s="24" t="b">
        <v>1</v>
      </c>
      <c r="I94" s="32" t="s">
        <v>30</v>
      </c>
      <c r="J94" s="26">
        <v>998</v>
      </c>
      <c r="K94" s="24" t="b">
        <v>1</v>
      </c>
      <c r="L94" s="27" t="s">
        <v>34</v>
      </c>
      <c r="M94" s="30">
        <v>44746</v>
      </c>
      <c r="N94" s="82">
        <v>808154</v>
      </c>
    </row>
    <row r="95" spans="1:14" ht="14.4" x14ac:dyDescent="0.3">
      <c r="A95" s="24">
        <v>94</v>
      </c>
      <c r="B95" s="27" t="s">
        <v>40</v>
      </c>
      <c r="C95" s="29">
        <v>5361.64</v>
      </c>
      <c r="D95" s="26">
        <v>142</v>
      </c>
      <c r="E95" s="26">
        <v>1</v>
      </c>
      <c r="F95" s="26">
        <v>1953</v>
      </c>
      <c r="G95" s="24" t="s">
        <v>18</v>
      </c>
      <c r="H95" s="24" t="b">
        <v>1</v>
      </c>
      <c r="I95" s="32" t="s">
        <v>113</v>
      </c>
      <c r="J95" s="26">
        <v>1338</v>
      </c>
      <c r="K95" s="24" t="b">
        <v>1</v>
      </c>
      <c r="L95" s="27" t="s">
        <v>34</v>
      </c>
      <c r="M95" s="30">
        <v>43486</v>
      </c>
      <c r="N95" s="82">
        <v>761352</v>
      </c>
    </row>
    <row r="96" spans="1:14" ht="14.4" x14ac:dyDescent="0.3">
      <c r="A96" s="24">
        <v>95</v>
      </c>
      <c r="B96" s="27" t="s">
        <v>40</v>
      </c>
      <c r="C96" s="29">
        <v>4498.24</v>
      </c>
      <c r="D96" s="26">
        <v>64</v>
      </c>
      <c r="E96" s="26">
        <v>1</v>
      </c>
      <c r="F96" s="26">
        <v>1982</v>
      </c>
      <c r="G96" s="24" t="s">
        <v>29</v>
      </c>
      <c r="H96" s="24" t="b">
        <v>0</v>
      </c>
      <c r="I96" s="32" t="s">
        <v>114</v>
      </c>
      <c r="J96" s="26">
        <v>324</v>
      </c>
      <c r="K96" s="24" t="b">
        <v>1</v>
      </c>
      <c r="L96" s="27" t="s">
        <v>34</v>
      </c>
      <c r="M96" s="30">
        <v>43163</v>
      </c>
      <c r="N96" s="82">
        <v>287887</v>
      </c>
    </row>
    <row r="97" spans="1:14" ht="14.4" x14ac:dyDescent="0.3">
      <c r="A97" s="24">
        <v>96</v>
      </c>
      <c r="B97" s="27" t="s">
        <v>40</v>
      </c>
      <c r="C97" s="29">
        <v>5915.4</v>
      </c>
      <c r="D97" s="26">
        <v>109</v>
      </c>
      <c r="E97" s="26">
        <v>4</v>
      </c>
      <c r="F97" s="26">
        <v>1989</v>
      </c>
      <c r="G97" s="24" t="s">
        <v>18</v>
      </c>
      <c r="H97" s="24" t="b">
        <v>0</v>
      </c>
      <c r="I97" s="32" t="s">
        <v>115</v>
      </c>
      <c r="J97" s="26">
        <v>1903</v>
      </c>
      <c r="K97" s="24" t="b">
        <v>1</v>
      </c>
      <c r="L97" s="27" t="s">
        <v>34</v>
      </c>
      <c r="M97" s="30">
        <v>44103</v>
      </c>
      <c r="N97" s="82">
        <v>644778</v>
      </c>
    </row>
    <row r="98" spans="1:14" ht="14.4" x14ac:dyDescent="0.3">
      <c r="A98" s="24">
        <v>97</v>
      </c>
      <c r="B98" s="27" t="s">
        <v>40</v>
      </c>
      <c r="C98" s="29">
        <v>4672.34</v>
      </c>
      <c r="D98" s="26">
        <v>43</v>
      </c>
      <c r="E98" s="26">
        <v>2</v>
      </c>
      <c r="F98" s="26">
        <v>1951</v>
      </c>
      <c r="G98" s="24" t="s">
        <v>21</v>
      </c>
      <c r="H98" s="24" t="b">
        <v>0</v>
      </c>
      <c r="I98" s="32" t="s">
        <v>116</v>
      </c>
      <c r="J98" s="26">
        <v>527</v>
      </c>
      <c r="K98" s="24" t="b">
        <v>0</v>
      </c>
      <c r="L98" s="27" t="s">
        <v>34</v>
      </c>
      <c r="M98" s="30">
        <v>43248</v>
      </c>
      <c r="N98" s="82">
        <v>200910</v>
      </c>
    </row>
    <row r="99" spans="1:14" ht="14.4" x14ac:dyDescent="0.3">
      <c r="A99" s="24">
        <v>98</v>
      </c>
      <c r="B99" s="27" t="s">
        <v>40</v>
      </c>
      <c r="C99" s="29">
        <v>3536.49</v>
      </c>
      <c r="D99" s="26">
        <v>77</v>
      </c>
      <c r="E99" s="26">
        <v>2</v>
      </c>
      <c r="F99" s="26">
        <v>1957</v>
      </c>
      <c r="G99" s="24" t="s">
        <v>18</v>
      </c>
      <c r="H99" s="24" t="b">
        <v>1</v>
      </c>
      <c r="I99" s="32" t="s">
        <v>117</v>
      </c>
      <c r="J99" s="26">
        <v>1793</v>
      </c>
      <c r="K99" s="24" t="b">
        <v>0</v>
      </c>
      <c r="L99" s="27" t="s">
        <v>34</v>
      </c>
      <c r="M99" s="30">
        <v>44187</v>
      </c>
      <c r="N99" s="82">
        <v>272309</v>
      </c>
    </row>
    <row r="100" spans="1:14" ht="14.4" x14ac:dyDescent="0.3">
      <c r="A100" s="24">
        <v>99</v>
      </c>
      <c r="B100" s="27" t="s">
        <v>40</v>
      </c>
      <c r="C100" s="29">
        <v>6886.19</v>
      </c>
      <c r="D100" s="26">
        <v>144</v>
      </c>
      <c r="E100" s="26">
        <v>4</v>
      </c>
      <c r="F100" s="26">
        <v>2022</v>
      </c>
      <c r="G100" s="24" t="s">
        <v>15</v>
      </c>
      <c r="H100" s="24" t="b">
        <v>1</v>
      </c>
      <c r="I100" s="32" t="s">
        <v>118</v>
      </c>
      <c r="J100" s="26">
        <v>1605</v>
      </c>
      <c r="K100" s="24" t="b">
        <v>1</v>
      </c>
      <c r="L100" s="27" t="s">
        <v>34</v>
      </c>
      <c r="M100" s="30">
        <v>44601</v>
      </c>
      <c r="N100" s="82">
        <v>991611</v>
      </c>
    </row>
    <row r="101" spans="1:14" ht="14.4" x14ac:dyDescent="0.3">
      <c r="A101" s="24">
        <v>100</v>
      </c>
      <c r="B101" s="27" t="s">
        <v>40</v>
      </c>
      <c r="C101" s="29">
        <v>4965.29</v>
      </c>
      <c r="D101" s="26">
        <v>83</v>
      </c>
      <c r="E101" s="26">
        <v>4</v>
      </c>
      <c r="F101" s="26">
        <v>2004</v>
      </c>
      <c r="G101" s="24" t="s">
        <v>21</v>
      </c>
      <c r="H101" s="24" t="b">
        <v>1</v>
      </c>
      <c r="I101" s="32" t="s">
        <v>119</v>
      </c>
      <c r="J101" s="26">
        <v>1905</v>
      </c>
      <c r="K101" s="24" t="b">
        <v>0</v>
      </c>
      <c r="L101" s="27" t="s">
        <v>34</v>
      </c>
      <c r="M101" s="30">
        <v>44047</v>
      </c>
      <c r="N101" s="82">
        <v>412119</v>
      </c>
    </row>
    <row r="102" spans="1:14" ht="13.2" x14ac:dyDescent="0.25">
      <c r="C102" s="25"/>
      <c r="D102" s="26"/>
      <c r="I102" s="27"/>
    </row>
    <row r="103" spans="1:14" ht="13.2" x14ac:dyDescent="0.25">
      <c r="C103" s="25"/>
      <c r="D103" s="26"/>
      <c r="I103" s="27"/>
    </row>
    <row r="104" spans="1:14" ht="13.2" x14ac:dyDescent="0.25">
      <c r="C104" s="25"/>
      <c r="D104" s="26"/>
      <c r="I104" s="27"/>
    </row>
    <row r="105" spans="1:14" ht="13.2" x14ac:dyDescent="0.25">
      <c r="C105" s="25"/>
      <c r="D105" s="26"/>
      <c r="I105" s="27"/>
    </row>
    <row r="106" spans="1:14" ht="13.2" x14ac:dyDescent="0.25">
      <c r="C106" s="25"/>
      <c r="D106" s="26"/>
      <c r="I106" s="27"/>
    </row>
    <row r="107" spans="1:14" ht="13.2" x14ac:dyDescent="0.25">
      <c r="C107" s="25"/>
      <c r="D107" s="26"/>
      <c r="I107" s="27"/>
    </row>
    <row r="108" spans="1:14" ht="13.2" x14ac:dyDescent="0.25">
      <c r="C108" s="25"/>
      <c r="D108" s="26"/>
      <c r="I108" s="27"/>
    </row>
    <row r="109" spans="1:14" ht="13.2" x14ac:dyDescent="0.25">
      <c r="C109" s="25"/>
      <c r="D109" s="26"/>
      <c r="I109" s="27"/>
    </row>
    <row r="110" spans="1:14" ht="13.2" x14ac:dyDescent="0.25">
      <c r="C110" s="25"/>
      <c r="D110" s="26"/>
      <c r="I110" s="27"/>
    </row>
    <row r="111" spans="1:14" ht="13.2" x14ac:dyDescent="0.25">
      <c r="C111" s="25"/>
      <c r="D111" s="26"/>
      <c r="I111" s="27"/>
    </row>
    <row r="112" spans="1:14" ht="13.2" x14ac:dyDescent="0.25">
      <c r="C112" s="25"/>
      <c r="D112" s="26"/>
      <c r="I112" s="27"/>
    </row>
    <row r="113" spans="3:9" ht="13.2" x14ac:dyDescent="0.25">
      <c r="C113" s="25"/>
      <c r="D113" s="26"/>
      <c r="I113" s="27"/>
    </row>
    <row r="114" spans="3:9" ht="13.2" x14ac:dyDescent="0.25">
      <c r="C114" s="25"/>
      <c r="D114" s="26"/>
      <c r="I114" s="27"/>
    </row>
    <row r="115" spans="3:9" ht="13.2" x14ac:dyDescent="0.25">
      <c r="C115" s="25"/>
      <c r="D115" s="26"/>
      <c r="I115" s="27"/>
    </row>
    <row r="116" spans="3:9" ht="13.2" x14ac:dyDescent="0.25">
      <c r="C116" s="25"/>
      <c r="D116" s="26"/>
      <c r="I116" s="27"/>
    </row>
    <row r="117" spans="3:9" ht="13.2" x14ac:dyDescent="0.25">
      <c r="C117" s="25"/>
      <c r="D117" s="26"/>
      <c r="I117" s="27"/>
    </row>
    <row r="118" spans="3:9" ht="13.2" x14ac:dyDescent="0.25">
      <c r="C118" s="25"/>
      <c r="D118" s="26"/>
      <c r="I118" s="27"/>
    </row>
    <row r="119" spans="3:9" ht="13.2" x14ac:dyDescent="0.25">
      <c r="C119" s="25"/>
      <c r="D119" s="26"/>
      <c r="I119" s="27"/>
    </row>
    <row r="120" spans="3:9" ht="13.2" x14ac:dyDescent="0.25">
      <c r="C120" s="25"/>
      <c r="D120" s="26"/>
      <c r="I120" s="27"/>
    </row>
    <row r="121" spans="3:9" ht="13.2" x14ac:dyDescent="0.25">
      <c r="C121" s="25"/>
      <c r="D121" s="26"/>
      <c r="I121" s="27"/>
    </row>
    <row r="122" spans="3:9" ht="13.2" x14ac:dyDescent="0.25">
      <c r="C122" s="25"/>
      <c r="D122" s="26"/>
      <c r="I122" s="27"/>
    </row>
    <row r="123" spans="3:9" ht="13.2" x14ac:dyDescent="0.25">
      <c r="C123" s="25"/>
      <c r="D123" s="26"/>
      <c r="I123" s="27"/>
    </row>
    <row r="124" spans="3:9" ht="13.2" x14ac:dyDescent="0.25">
      <c r="C124" s="25"/>
      <c r="D124" s="26"/>
      <c r="I124" s="27"/>
    </row>
    <row r="125" spans="3:9" ht="13.2" x14ac:dyDescent="0.25">
      <c r="C125" s="25"/>
      <c r="D125" s="26"/>
      <c r="I125" s="27"/>
    </row>
    <row r="126" spans="3:9" ht="13.2" x14ac:dyDescent="0.25">
      <c r="C126" s="25"/>
      <c r="D126" s="26"/>
      <c r="I126" s="27"/>
    </row>
    <row r="127" spans="3:9" ht="13.2" x14ac:dyDescent="0.25">
      <c r="C127" s="25"/>
      <c r="D127" s="26"/>
      <c r="I127" s="27"/>
    </row>
    <row r="128" spans="3:9" ht="13.2" x14ac:dyDescent="0.25">
      <c r="C128" s="25"/>
      <c r="D128" s="26"/>
      <c r="I128" s="27"/>
    </row>
    <row r="129" spans="3:9" ht="13.2" x14ac:dyDescent="0.25">
      <c r="C129" s="25"/>
      <c r="D129" s="26"/>
      <c r="I129" s="27"/>
    </row>
    <row r="130" spans="3:9" ht="13.2" x14ac:dyDescent="0.25">
      <c r="C130" s="25"/>
      <c r="D130" s="26"/>
      <c r="I130" s="27"/>
    </row>
    <row r="131" spans="3:9" ht="13.2" x14ac:dyDescent="0.25">
      <c r="C131" s="25"/>
      <c r="D131" s="26"/>
      <c r="I131" s="27"/>
    </row>
    <row r="132" spans="3:9" ht="13.2" x14ac:dyDescent="0.25">
      <c r="C132" s="25"/>
      <c r="D132" s="26"/>
      <c r="I132" s="27"/>
    </row>
    <row r="133" spans="3:9" ht="13.2" x14ac:dyDescent="0.25">
      <c r="C133" s="25"/>
      <c r="D133" s="26"/>
      <c r="I133" s="27"/>
    </row>
    <row r="134" spans="3:9" ht="13.2" x14ac:dyDescent="0.25">
      <c r="C134" s="25"/>
      <c r="D134" s="26"/>
      <c r="I134" s="27"/>
    </row>
    <row r="135" spans="3:9" ht="13.2" x14ac:dyDescent="0.25">
      <c r="C135" s="25"/>
      <c r="D135" s="26"/>
      <c r="I135" s="27"/>
    </row>
    <row r="136" spans="3:9" ht="13.2" x14ac:dyDescent="0.25">
      <c r="C136" s="25"/>
      <c r="D136" s="26"/>
      <c r="I136" s="27"/>
    </row>
    <row r="137" spans="3:9" ht="13.2" x14ac:dyDescent="0.25">
      <c r="C137" s="25"/>
      <c r="D137" s="26"/>
      <c r="I137" s="27"/>
    </row>
    <row r="138" spans="3:9" ht="13.2" x14ac:dyDescent="0.25">
      <c r="C138" s="25"/>
      <c r="D138" s="26"/>
      <c r="I138" s="27"/>
    </row>
    <row r="139" spans="3:9" ht="13.2" x14ac:dyDescent="0.25">
      <c r="C139" s="25"/>
      <c r="D139" s="26"/>
      <c r="I139" s="27"/>
    </row>
    <row r="140" spans="3:9" ht="13.2" x14ac:dyDescent="0.25">
      <c r="C140" s="25"/>
      <c r="D140" s="26"/>
      <c r="I140" s="27"/>
    </row>
    <row r="141" spans="3:9" ht="13.2" x14ac:dyDescent="0.25">
      <c r="C141" s="25"/>
      <c r="D141" s="26"/>
      <c r="I141" s="27"/>
    </row>
    <row r="142" spans="3:9" ht="13.2" x14ac:dyDescent="0.25">
      <c r="C142" s="25"/>
      <c r="D142" s="26"/>
      <c r="I142" s="27"/>
    </row>
    <row r="143" spans="3:9" ht="13.2" x14ac:dyDescent="0.25">
      <c r="C143" s="25"/>
      <c r="D143" s="26"/>
      <c r="I143" s="27"/>
    </row>
    <row r="144" spans="3:9" ht="13.2" x14ac:dyDescent="0.25">
      <c r="C144" s="25"/>
      <c r="D144" s="26"/>
      <c r="I144" s="27"/>
    </row>
    <row r="145" spans="3:9" ht="13.2" x14ac:dyDescent="0.25">
      <c r="C145" s="25"/>
      <c r="D145" s="26"/>
      <c r="I145" s="27"/>
    </row>
    <row r="146" spans="3:9" ht="13.2" x14ac:dyDescent="0.25">
      <c r="C146" s="25"/>
      <c r="D146" s="26"/>
      <c r="I146" s="27"/>
    </row>
    <row r="147" spans="3:9" ht="13.2" x14ac:dyDescent="0.25">
      <c r="C147" s="25"/>
      <c r="D147" s="26"/>
      <c r="I147" s="27"/>
    </row>
    <row r="148" spans="3:9" ht="13.2" x14ac:dyDescent="0.25">
      <c r="C148" s="25"/>
      <c r="D148" s="26"/>
      <c r="I148" s="27"/>
    </row>
    <row r="149" spans="3:9" ht="13.2" x14ac:dyDescent="0.25">
      <c r="C149" s="25"/>
      <c r="D149" s="26"/>
      <c r="I149" s="27"/>
    </row>
    <row r="150" spans="3:9" ht="13.2" x14ac:dyDescent="0.25">
      <c r="C150" s="25"/>
      <c r="D150" s="26"/>
      <c r="I150" s="27"/>
    </row>
    <row r="151" spans="3:9" ht="13.2" x14ac:dyDescent="0.25">
      <c r="C151" s="25"/>
      <c r="D151" s="26"/>
      <c r="I151" s="27"/>
    </row>
    <row r="152" spans="3:9" ht="13.2" x14ac:dyDescent="0.25">
      <c r="C152" s="25"/>
      <c r="D152" s="26"/>
      <c r="I152" s="27"/>
    </row>
    <row r="153" spans="3:9" ht="13.2" x14ac:dyDescent="0.25">
      <c r="C153" s="25"/>
      <c r="D153" s="26"/>
      <c r="I153" s="27"/>
    </row>
    <row r="154" spans="3:9" ht="13.2" x14ac:dyDescent="0.25">
      <c r="C154" s="25"/>
      <c r="D154" s="26"/>
      <c r="I154" s="27"/>
    </row>
    <row r="155" spans="3:9" ht="13.2" x14ac:dyDescent="0.25">
      <c r="C155" s="25"/>
      <c r="D155" s="26"/>
      <c r="I155" s="27"/>
    </row>
    <row r="156" spans="3:9" ht="13.2" x14ac:dyDescent="0.25">
      <c r="C156" s="25"/>
      <c r="D156" s="26"/>
      <c r="I156" s="27"/>
    </row>
    <row r="157" spans="3:9" ht="13.2" x14ac:dyDescent="0.25">
      <c r="C157" s="25"/>
      <c r="D157" s="26"/>
      <c r="I157" s="27"/>
    </row>
    <row r="158" spans="3:9" ht="13.2" x14ac:dyDescent="0.25">
      <c r="C158" s="25"/>
      <c r="D158" s="26"/>
      <c r="I158" s="27"/>
    </row>
    <row r="159" spans="3:9" ht="13.2" x14ac:dyDescent="0.25">
      <c r="C159" s="25"/>
      <c r="D159" s="26"/>
      <c r="I159" s="27"/>
    </row>
    <row r="160" spans="3:9" ht="13.2" x14ac:dyDescent="0.25">
      <c r="C160" s="25"/>
      <c r="D160" s="26"/>
      <c r="I160" s="27"/>
    </row>
    <row r="161" spans="3:9" ht="13.2" x14ac:dyDescent="0.25">
      <c r="C161" s="25"/>
      <c r="D161" s="26"/>
      <c r="I161" s="27"/>
    </row>
    <row r="162" spans="3:9" ht="13.2" x14ac:dyDescent="0.25">
      <c r="C162" s="25"/>
      <c r="D162" s="26"/>
      <c r="I162" s="27"/>
    </row>
    <row r="163" spans="3:9" ht="13.2" x14ac:dyDescent="0.25">
      <c r="C163" s="25"/>
      <c r="D163" s="26"/>
      <c r="I163" s="27"/>
    </row>
    <row r="164" spans="3:9" ht="13.2" x14ac:dyDescent="0.25">
      <c r="C164" s="25"/>
      <c r="D164" s="26"/>
      <c r="I164" s="27"/>
    </row>
    <row r="165" spans="3:9" ht="13.2" x14ac:dyDescent="0.25">
      <c r="C165" s="25"/>
      <c r="D165" s="26"/>
      <c r="I165" s="27"/>
    </row>
    <row r="166" spans="3:9" ht="13.2" x14ac:dyDescent="0.25">
      <c r="C166" s="25"/>
      <c r="D166" s="26"/>
      <c r="I166" s="27"/>
    </row>
    <row r="167" spans="3:9" ht="13.2" x14ac:dyDescent="0.25">
      <c r="C167" s="25"/>
      <c r="D167" s="26"/>
      <c r="I167" s="27"/>
    </row>
    <row r="168" spans="3:9" ht="13.2" x14ac:dyDescent="0.25">
      <c r="C168" s="25"/>
      <c r="D168" s="26"/>
      <c r="I168" s="27"/>
    </row>
    <row r="169" spans="3:9" ht="13.2" x14ac:dyDescent="0.25">
      <c r="C169" s="25"/>
      <c r="D169" s="26"/>
      <c r="I169" s="27"/>
    </row>
    <row r="170" spans="3:9" ht="13.2" x14ac:dyDescent="0.25">
      <c r="C170" s="25"/>
      <c r="D170" s="26"/>
      <c r="I170" s="27"/>
    </row>
    <row r="171" spans="3:9" ht="13.2" x14ac:dyDescent="0.25">
      <c r="C171" s="25"/>
      <c r="D171" s="26"/>
      <c r="I171" s="27"/>
    </row>
    <row r="172" spans="3:9" ht="13.2" x14ac:dyDescent="0.25">
      <c r="C172" s="25"/>
      <c r="D172" s="26"/>
      <c r="I172" s="27"/>
    </row>
    <row r="173" spans="3:9" ht="13.2" x14ac:dyDescent="0.25">
      <c r="C173" s="25"/>
      <c r="D173" s="26"/>
      <c r="I173" s="27"/>
    </row>
    <row r="174" spans="3:9" ht="13.2" x14ac:dyDescent="0.25">
      <c r="C174" s="25"/>
      <c r="D174" s="26"/>
      <c r="I174" s="27"/>
    </row>
    <row r="175" spans="3:9" ht="13.2" x14ac:dyDescent="0.25">
      <c r="C175" s="25"/>
      <c r="D175" s="26"/>
      <c r="I175" s="27"/>
    </row>
    <row r="176" spans="3:9" ht="13.2" x14ac:dyDescent="0.25">
      <c r="C176" s="25"/>
      <c r="D176" s="26"/>
      <c r="I176" s="27"/>
    </row>
    <row r="177" spans="3:9" ht="13.2" x14ac:dyDescent="0.25">
      <c r="C177" s="25"/>
      <c r="D177" s="26"/>
      <c r="I177" s="27"/>
    </row>
    <row r="178" spans="3:9" ht="13.2" x14ac:dyDescent="0.25">
      <c r="C178" s="25"/>
      <c r="D178" s="26"/>
      <c r="I178" s="27"/>
    </row>
    <row r="179" spans="3:9" ht="13.2" x14ac:dyDescent="0.25">
      <c r="C179" s="25"/>
      <c r="D179" s="26"/>
      <c r="I179" s="27"/>
    </row>
    <row r="180" spans="3:9" ht="13.2" x14ac:dyDescent="0.25">
      <c r="C180" s="25"/>
      <c r="D180" s="26"/>
      <c r="I180" s="27"/>
    </row>
    <row r="181" spans="3:9" ht="13.2" x14ac:dyDescent="0.25">
      <c r="C181" s="25"/>
      <c r="D181" s="26"/>
      <c r="I181" s="27"/>
    </row>
    <row r="182" spans="3:9" ht="13.2" x14ac:dyDescent="0.25">
      <c r="C182" s="25"/>
      <c r="D182" s="26"/>
      <c r="I182" s="27"/>
    </row>
    <row r="183" spans="3:9" ht="13.2" x14ac:dyDescent="0.25">
      <c r="C183" s="25"/>
      <c r="D183" s="26"/>
      <c r="I183" s="27"/>
    </row>
    <row r="184" spans="3:9" ht="13.2" x14ac:dyDescent="0.25">
      <c r="C184" s="25"/>
      <c r="D184" s="26"/>
      <c r="I184" s="27"/>
    </row>
    <row r="185" spans="3:9" ht="13.2" x14ac:dyDescent="0.25">
      <c r="C185" s="25"/>
      <c r="D185" s="26"/>
      <c r="I185" s="27"/>
    </row>
    <row r="186" spans="3:9" ht="13.2" x14ac:dyDescent="0.25">
      <c r="C186" s="25"/>
      <c r="D186" s="26"/>
      <c r="I186" s="27"/>
    </row>
    <row r="187" spans="3:9" ht="13.2" x14ac:dyDescent="0.25">
      <c r="C187" s="25"/>
      <c r="D187" s="26"/>
      <c r="I187" s="27"/>
    </row>
    <row r="188" spans="3:9" ht="13.2" x14ac:dyDescent="0.25">
      <c r="C188" s="25"/>
      <c r="D188" s="26"/>
      <c r="I188" s="27"/>
    </row>
    <row r="189" spans="3:9" ht="13.2" x14ac:dyDescent="0.25">
      <c r="C189" s="25"/>
      <c r="D189" s="26"/>
      <c r="I189" s="27"/>
    </row>
    <row r="190" spans="3:9" ht="13.2" x14ac:dyDescent="0.25">
      <c r="C190" s="25"/>
      <c r="D190" s="26"/>
      <c r="I190" s="27"/>
    </row>
    <row r="191" spans="3:9" ht="13.2" x14ac:dyDescent="0.25">
      <c r="C191" s="25"/>
      <c r="D191" s="26"/>
      <c r="I191" s="27"/>
    </row>
    <row r="192" spans="3:9" ht="13.2" x14ac:dyDescent="0.25">
      <c r="C192" s="25"/>
      <c r="D192" s="26"/>
      <c r="I192" s="27"/>
    </row>
    <row r="193" spans="3:9" ht="13.2" x14ac:dyDescent="0.25">
      <c r="C193" s="25"/>
      <c r="D193" s="26"/>
      <c r="I193" s="27"/>
    </row>
    <row r="194" spans="3:9" ht="13.2" x14ac:dyDescent="0.25">
      <c r="C194" s="25"/>
      <c r="D194" s="26"/>
      <c r="I194" s="27"/>
    </row>
    <row r="195" spans="3:9" ht="13.2" x14ac:dyDescent="0.25">
      <c r="C195" s="25"/>
      <c r="D195" s="26"/>
      <c r="I195" s="27"/>
    </row>
    <row r="196" spans="3:9" ht="13.2" x14ac:dyDescent="0.25">
      <c r="C196" s="25"/>
      <c r="D196" s="26"/>
      <c r="I196" s="27"/>
    </row>
    <row r="197" spans="3:9" ht="13.2" x14ac:dyDescent="0.25">
      <c r="C197" s="25"/>
      <c r="D197" s="26"/>
      <c r="I197" s="27"/>
    </row>
    <row r="198" spans="3:9" ht="13.2" x14ac:dyDescent="0.25">
      <c r="C198" s="25"/>
      <c r="D198" s="26"/>
      <c r="I198" s="27"/>
    </row>
    <row r="199" spans="3:9" ht="13.2" x14ac:dyDescent="0.25">
      <c r="C199" s="25"/>
      <c r="D199" s="26"/>
      <c r="I199" s="27"/>
    </row>
    <row r="200" spans="3:9" ht="13.2" x14ac:dyDescent="0.25">
      <c r="C200" s="25"/>
      <c r="D200" s="26"/>
      <c r="I200" s="27"/>
    </row>
    <row r="201" spans="3:9" ht="13.2" x14ac:dyDescent="0.25">
      <c r="C201" s="25"/>
      <c r="D201" s="26"/>
      <c r="I201" s="27"/>
    </row>
    <row r="202" spans="3:9" ht="13.2" x14ac:dyDescent="0.25">
      <c r="C202" s="25"/>
      <c r="D202" s="26"/>
      <c r="I202" s="27"/>
    </row>
    <row r="203" spans="3:9" ht="13.2" x14ac:dyDescent="0.25">
      <c r="C203" s="25"/>
      <c r="D203" s="26"/>
      <c r="I203" s="27"/>
    </row>
    <row r="204" spans="3:9" ht="13.2" x14ac:dyDescent="0.25">
      <c r="C204" s="25"/>
      <c r="D204" s="26"/>
      <c r="I204" s="27"/>
    </row>
    <row r="205" spans="3:9" ht="13.2" x14ac:dyDescent="0.25">
      <c r="C205" s="25"/>
      <c r="D205" s="26"/>
      <c r="I205" s="27"/>
    </row>
    <row r="206" spans="3:9" ht="13.2" x14ac:dyDescent="0.25">
      <c r="C206" s="25"/>
      <c r="D206" s="26"/>
      <c r="I206" s="27"/>
    </row>
    <row r="207" spans="3:9" ht="13.2" x14ac:dyDescent="0.25">
      <c r="C207" s="25"/>
      <c r="D207" s="26"/>
      <c r="I207" s="27"/>
    </row>
    <row r="208" spans="3:9" ht="13.2" x14ac:dyDescent="0.25">
      <c r="C208" s="25"/>
      <c r="D208" s="26"/>
      <c r="I208" s="27"/>
    </row>
    <row r="209" spans="3:9" ht="13.2" x14ac:dyDescent="0.25">
      <c r="C209" s="25"/>
      <c r="D209" s="26"/>
      <c r="I209" s="27"/>
    </row>
    <row r="210" spans="3:9" ht="13.2" x14ac:dyDescent="0.25">
      <c r="C210" s="25"/>
      <c r="D210" s="26"/>
      <c r="I210" s="27"/>
    </row>
    <row r="211" spans="3:9" ht="13.2" x14ac:dyDescent="0.25">
      <c r="C211" s="25"/>
      <c r="D211" s="26"/>
      <c r="I211" s="27"/>
    </row>
    <row r="212" spans="3:9" ht="13.2" x14ac:dyDescent="0.25">
      <c r="C212" s="25"/>
      <c r="D212" s="26"/>
      <c r="I212" s="27"/>
    </row>
    <row r="213" spans="3:9" ht="13.2" x14ac:dyDescent="0.25">
      <c r="C213" s="25"/>
      <c r="D213" s="26"/>
      <c r="I213" s="27"/>
    </row>
    <row r="214" spans="3:9" ht="13.2" x14ac:dyDescent="0.25">
      <c r="C214" s="25"/>
      <c r="D214" s="26"/>
      <c r="I214" s="27"/>
    </row>
    <row r="215" spans="3:9" ht="13.2" x14ac:dyDescent="0.25">
      <c r="C215" s="25"/>
      <c r="D215" s="26"/>
      <c r="I215" s="27"/>
    </row>
    <row r="216" spans="3:9" ht="13.2" x14ac:dyDescent="0.25">
      <c r="C216" s="25"/>
      <c r="D216" s="26"/>
      <c r="I216" s="27"/>
    </row>
    <row r="217" spans="3:9" ht="13.2" x14ac:dyDescent="0.25">
      <c r="C217" s="25"/>
      <c r="D217" s="26"/>
      <c r="I217" s="27"/>
    </row>
    <row r="218" spans="3:9" ht="13.2" x14ac:dyDescent="0.25">
      <c r="C218" s="25"/>
      <c r="D218" s="26"/>
      <c r="I218" s="27"/>
    </row>
    <row r="219" spans="3:9" ht="13.2" x14ac:dyDescent="0.25">
      <c r="C219" s="25"/>
      <c r="D219" s="26"/>
      <c r="I219" s="27"/>
    </row>
    <row r="220" spans="3:9" ht="13.2" x14ac:dyDescent="0.25">
      <c r="C220" s="25"/>
      <c r="D220" s="26"/>
      <c r="I220" s="27"/>
    </row>
    <row r="221" spans="3:9" ht="13.2" x14ac:dyDescent="0.25">
      <c r="C221" s="25"/>
      <c r="D221" s="26"/>
      <c r="I221" s="27"/>
    </row>
    <row r="222" spans="3:9" ht="13.2" x14ac:dyDescent="0.25">
      <c r="C222" s="25"/>
      <c r="D222" s="26"/>
      <c r="I222" s="27"/>
    </row>
    <row r="223" spans="3:9" ht="13.2" x14ac:dyDescent="0.25">
      <c r="C223" s="25"/>
      <c r="D223" s="26"/>
      <c r="I223" s="27"/>
    </row>
    <row r="224" spans="3:9" ht="13.2" x14ac:dyDescent="0.25">
      <c r="C224" s="25"/>
      <c r="D224" s="26"/>
      <c r="I224" s="27"/>
    </row>
    <row r="225" spans="3:9" ht="13.2" x14ac:dyDescent="0.25">
      <c r="C225" s="25"/>
      <c r="D225" s="26"/>
      <c r="I225" s="27"/>
    </row>
    <row r="226" spans="3:9" ht="13.2" x14ac:dyDescent="0.25">
      <c r="C226" s="25"/>
      <c r="D226" s="26"/>
      <c r="I226" s="27"/>
    </row>
    <row r="227" spans="3:9" ht="13.2" x14ac:dyDescent="0.25">
      <c r="C227" s="25"/>
      <c r="D227" s="26"/>
      <c r="I227" s="27"/>
    </row>
    <row r="228" spans="3:9" ht="13.2" x14ac:dyDescent="0.25">
      <c r="C228" s="25"/>
      <c r="D228" s="26"/>
      <c r="I228" s="27"/>
    </row>
    <row r="229" spans="3:9" ht="13.2" x14ac:dyDescent="0.25">
      <c r="C229" s="25"/>
      <c r="D229" s="26"/>
      <c r="I229" s="27"/>
    </row>
    <row r="230" spans="3:9" ht="13.2" x14ac:dyDescent="0.25">
      <c r="C230" s="25"/>
      <c r="D230" s="26"/>
      <c r="I230" s="27"/>
    </row>
    <row r="231" spans="3:9" ht="13.2" x14ac:dyDescent="0.25">
      <c r="C231" s="25"/>
      <c r="D231" s="26"/>
      <c r="I231" s="27"/>
    </row>
    <row r="232" spans="3:9" ht="13.2" x14ac:dyDescent="0.25">
      <c r="C232" s="25"/>
      <c r="D232" s="26"/>
      <c r="I232" s="27"/>
    </row>
    <row r="233" spans="3:9" ht="13.2" x14ac:dyDescent="0.25">
      <c r="C233" s="25"/>
      <c r="D233" s="26"/>
      <c r="I233" s="27"/>
    </row>
    <row r="234" spans="3:9" ht="13.2" x14ac:dyDescent="0.25">
      <c r="C234" s="25"/>
      <c r="D234" s="26"/>
      <c r="I234" s="27"/>
    </row>
    <row r="235" spans="3:9" ht="13.2" x14ac:dyDescent="0.25">
      <c r="C235" s="25"/>
      <c r="D235" s="26"/>
      <c r="I235" s="27"/>
    </row>
    <row r="236" spans="3:9" ht="13.2" x14ac:dyDescent="0.25">
      <c r="C236" s="25"/>
      <c r="D236" s="26"/>
      <c r="I236" s="27"/>
    </row>
    <row r="237" spans="3:9" ht="13.2" x14ac:dyDescent="0.25">
      <c r="C237" s="25"/>
      <c r="D237" s="26"/>
      <c r="I237" s="27"/>
    </row>
    <row r="238" spans="3:9" ht="13.2" x14ac:dyDescent="0.25">
      <c r="C238" s="25"/>
      <c r="D238" s="26"/>
      <c r="I238" s="27"/>
    </row>
    <row r="239" spans="3:9" ht="13.2" x14ac:dyDescent="0.25">
      <c r="C239" s="25"/>
      <c r="D239" s="26"/>
      <c r="I239" s="27"/>
    </row>
    <row r="240" spans="3:9" ht="13.2" x14ac:dyDescent="0.25">
      <c r="C240" s="25"/>
      <c r="D240" s="26"/>
      <c r="I240" s="27"/>
    </row>
    <row r="241" spans="3:9" ht="13.2" x14ac:dyDescent="0.25">
      <c r="C241" s="25"/>
      <c r="D241" s="26"/>
      <c r="I241" s="27"/>
    </row>
    <row r="242" spans="3:9" ht="13.2" x14ac:dyDescent="0.25">
      <c r="C242" s="25"/>
      <c r="D242" s="26"/>
      <c r="I242" s="27"/>
    </row>
    <row r="243" spans="3:9" ht="13.2" x14ac:dyDescent="0.25">
      <c r="C243" s="25"/>
      <c r="D243" s="26"/>
      <c r="I243" s="27"/>
    </row>
    <row r="244" spans="3:9" ht="13.2" x14ac:dyDescent="0.25">
      <c r="C244" s="25"/>
      <c r="D244" s="26"/>
      <c r="I244" s="27"/>
    </row>
    <row r="245" spans="3:9" ht="13.2" x14ac:dyDescent="0.25">
      <c r="C245" s="25"/>
      <c r="D245" s="26"/>
      <c r="I245" s="27"/>
    </row>
    <row r="246" spans="3:9" ht="13.2" x14ac:dyDescent="0.25">
      <c r="C246" s="25"/>
      <c r="D246" s="26"/>
      <c r="I246" s="27"/>
    </row>
    <row r="247" spans="3:9" ht="13.2" x14ac:dyDescent="0.25">
      <c r="C247" s="25"/>
      <c r="D247" s="26"/>
      <c r="I247" s="27"/>
    </row>
    <row r="248" spans="3:9" ht="13.2" x14ac:dyDescent="0.25">
      <c r="C248" s="25"/>
      <c r="D248" s="26"/>
      <c r="I248" s="27"/>
    </row>
    <row r="249" spans="3:9" ht="13.2" x14ac:dyDescent="0.25">
      <c r="C249" s="25"/>
      <c r="D249" s="26"/>
      <c r="I249" s="27"/>
    </row>
    <row r="250" spans="3:9" ht="13.2" x14ac:dyDescent="0.25">
      <c r="C250" s="25"/>
      <c r="D250" s="26"/>
      <c r="I250" s="27"/>
    </row>
    <row r="251" spans="3:9" ht="13.2" x14ac:dyDescent="0.25">
      <c r="C251" s="25"/>
      <c r="D251" s="26"/>
      <c r="I251" s="27"/>
    </row>
    <row r="252" spans="3:9" ht="13.2" x14ac:dyDescent="0.25">
      <c r="C252" s="25"/>
      <c r="D252" s="26"/>
      <c r="I252" s="27"/>
    </row>
    <row r="253" spans="3:9" ht="13.2" x14ac:dyDescent="0.25">
      <c r="C253" s="25"/>
      <c r="D253" s="26"/>
      <c r="I253" s="27"/>
    </row>
    <row r="254" spans="3:9" ht="13.2" x14ac:dyDescent="0.25">
      <c r="C254" s="25"/>
      <c r="D254" s="26"/>
      <c r="I254" s="27"/>
    </row>
    <row r="255" spans="3:9" ht="13.2" x14ac:dyDescent="0.25">
      <c r="C255" s="25"/>
      <c r="D255" s="26"/>
      <c r="I255" s="27"/>
    </row>
    <row r="256" spans="3:9" ht="13.2" x14ac:dyDescent="0.25">
      <c r="C256" s="25"/>
      <c r="D256" s="26"/>
      <c r="I256" s="27"/>
    </row>
    <row r="257" spans="3:9" ht="13.2" x14ac:dyDescent="0.25">
      <c r="C257" s="25"/>
      <c r="D257" s="26"/>
      <c r="I257" s="27"/>
    </row>
    <row r="258" spans="3:9" ht="13.2" x14ac:dyDescent="0.25">
      <c r="C258" s="25"/>
      <c r="D258" s="26"/>
      <c r="I258" s="27"/>
    </row>
    <row r="259" spans="3:9" ht="13.2" x14ac:dyDescent="0.25">
      <c r="C259" s="25"/>
      <c r="D259" s="26"/>
      <c r="I259" s="27"/>
    </row>
    <row r="260" spans="3:9" ht="13.2" x14ac:dyDescent="0.25">
      <c r="C260" s="25"/>
      <c r="D260" s="26"/>
      <c r="I260" s="27"/>
    </row>
    <row r="261" spans="3:9" ht="13.2" x14ac:dyDescent="0.25">
      <c r="C261" s="25"/>
      <c r="D261" s="26"/>
      <c r="I261" s="27"/>
    </row>
    <row r="262" spans="3:9" ht="13.2" x14ac:dyDescent="0.25">
      <c r="C262" s="25"/>
      <c r="D262" s="26"/>
      <c r="I262" s="27"/>
    </row>
    <row r="263" spans="3:9" ht="13.2" x14ac:dyDescent="0.25">
      <c r="C263" s="25"/>
      <c r="D263" s="26"/>
      <c r="I263" s="27"/>
    </row>
    <row r="264" spans="3:9" ht="13.2" x14ac:dyDescent="0.25">
      <c r="C264" s="25"/>
      <c r="D264" s="26"/>
      <c r="I264" s="27"/>
    </row>
    <row r="265" spans="3:9" ht="13.2" x14ac:dyDescent="0.25">
      <c r="C265" s="25"/>
      <c r="D265" s="26"/>
      <c r="I265" s="27"/>
    </row>
    <row r="266" spans="3:9" ht="13.2" x14ac:dyDescent="0.25">
      <c r="C266" s="25"/>
      <c r="D266" s="26"/>
      <c r="I266" s="27"/>
    </row>
    <row r="267" spans="3:9" ht="13.2" x14ac:dyDescent="0.25">
      <c r="C267" s="25"/>
      <c r="D267" s="26"/>
      <c r="I267" s="27"/>
    </row>
    <row r="268" spans="3:9" ht="13.2" x14ac:dyDescent="0.25">
      <c r="C268" s="25"/>
      <c r="D268" s="26"/>
      <c r="I268" s="27"/>
    </row>
    <row r="269" spans="3:9" ht="13.2" x14ac:dyDescent="0.25">
      <c r="C269" s="25"/>
      <c r="D269" s="26"/>
      <c r="I269" s="27"/>
    </row>
    <row r="270" spans="3:9" ht="13.2" x14ac:dyDescent="0.25">
      <c r="C270" s="25"/>
      <c r="D270" s="26"/>
      <c r="I270" s="27"/>
    </row>
    <row r="271" spans="3:9" ht="13.2" x14ac:dyDescent="0.25">
      <c r="C271" s="25"/>
      <c r="D271" s="26"/>
      <c r="I271" s="27"/>
    </row>
    <row r="272" spans="3:9" ht="13.2" x14ac:dyDescent="0.25">
      <c r="C272" s="25"/>
      <c r="D272" s="26"/>
      <c r="I272" s="27"/>
    </row>
    <row r="273" spans="3:9" ht="13.2" x14ac:dyDescent="0.25">
      <c r="C273" s="25"/>
      <c r="D273" s="26"/>
      <c r="I273" s="27"/>
    </row>
    <row r="274" spans="3:9" ht="13.2" x14ac:dyDescent="0.25">
      <c r="C274" s="25"/>
      <c r="D274" s="26"/>
      <c r="I274" s="27"/>
    </row>
    <row r="275" spans="3:9" ht="13.2" x14ac:dyDescent="0.25">
      <c r="C275" s="25"/>
      <c r="D275" s="26"/>
      <c r="I275" s="27"/>
    </row>
    <row r="276" spans="3:9" ht="13.2" x14ac:dyDescent="0.25">
      <c r="C276" s="25"/>
      <c r="D276" s="26"/>
      <c r="I276" s="27"/>
    </row>
    <row r="277" spans="3:9" ht="13.2" x14ac:dyDescent="0.25">
      <c r="C277" s="25"/>
      <c r="D277" s="26"/>
      <c r="I277" s="27"/>
    </row>
    <row r="278" spans="3:9" ht="13.2" x14ac:dyDescent="0.25">
      <c r="C278" s="25"/>
      <c r="D278" s="26"/>
      <c r="I278" s="27"/>
    </row>
    <row r="279" spans="3:9" ht="13.2" x14ac:dyDescent="0.25">
      <c r="C279" s="25"/>
      <c r="D279" s="26"/>
      <c r="I279" s="27"/>
    </row>
    <row r="280" spans="3:9" ht="13.2" x14ac:dyDescent="0.25">
      <c r="C280" s="25"/>
      <c r="D280" s="26"/>
      <c r="I280" s="27"/>
    </row>
    <row r="281" spans="3:9" ht="13.2" x14ac:dyDescent="0.25">
      <c r="C281" s="25"/>
      <c r="D281" s="26"/>
      <c r="I281" s="27"/>
    </row>
    <row r="282" spans="3:9" ht="13.2" x14ac:dyDescent="0.25">
      <c r="C282" s="25"/>
      <c r="D282" s="26"/>
      <c r="I282" s="27"/>
    </row>
    <row r="283" spans="3:9" ht="13.2" x14ac:dyDescent="0.25">
      <c r="C283" s="25"/>
      <c r="D283" s="26"/>
      <c r="I283" s="27"/>
    </row>
    <row r="284" spans="3:9" ht="13.2" x14ac:dyDescent="0.25">
      <c r="C284" s="25"/>
      <c r="D284" s="26"/>
      <c r="I284" s="27"/>
    </row>
    <row r="285" spans="3:9" ht="13.2" x14ac:dyDescent="0.25">
      <c r="C285" s="25"/>
      <c r="D285" s="26"/>
      <c r="I285" s="27"/>
    </row>
    <row r="286" spans="3:9" ht="13.2" x14ac:dyDescent="0.25">
      <c r="C286" s="25"/>
      <c r="D286" s="26"/>
      <c r="I286" s="27"/>
    </row>
    <row r="287" spans="3:9" ht="13.2" x14ac:dyDescent="0.25">
      <c r="C287" s="25"/>
      <c r="D287" s="26"/>
      <c r="I287" s="27"/>
    </row>
    <row r="288" spans="3:9" ht="13.2" x14ac:dyDescent="0.25">
      <c r="C288" s="25"/>
      <c r="D288" s="26"/>
      <c r="I288" s="27"/>
    </row>
    <row r="289" spans="3:9" ht="13.2" x14ac:dyDescent="0.25">
      <c r="C289" s="25"/>
      <c r="D289" s="26"/>
      <c r="I289" s="27"/>
    </row>
    <row r="290" spans="3:9" ht="13.2" x14ac:dyDescent="0.25">
      <c r="C290" s="25"/>
      <c r="D290" s="26"/>
      <c r="I290" s="27"/>
    </row>
    <row r="291" spans="3:9" ht="13.2" x14ac:dyDescent="0.25">
      <c r="C291" s="25"/>
      <c r="D291" s="26"/>
      <c r="I291" s="27"/>
    </row>
    <row r="292" spans="3:9" ht="13.2" x14ac:dyDescent="0.25">
      <c r="C292" s="25"/>
      <c r="D292" s="26"/>
      <c r="I292" s="27"/>
    </row>
    <row r="293" spans="3:9" ht="13.2" x14ac:dyDescent="0.25">
      <c r="C293" s="25"/>
      <c r="D293" s="26"/>
      <c r="I293" s="27"/>
    </row>
    <row r="294" spans="3:9" ht="13.2" x14ac:dyDescent="0.25">
      <c r="C294" s="25"/>
      <c r="D294" s="26"/>
      <c r="I294" s="27"/>
    </row>
    <row r="295" spans="3:9" ht="13.2" x14ac:dyDescent="0.25">
      <c r="C295" s="25"/>
      <c r="D295" s="26"/>
      <c r="I295" s="27"/>
    </row>
    <row r="296" spans="3:9" ht="13.2" x14ac:dyDescent="0.25">
      <c r="C296" s="25"/>
      <c r="D296" s="26"/>
      <c r="I296" s="27"/>
    </row>
    <row r="297" spans="3:9" ht="13.2" x14ac:dyDescent="0.25">
      <c r="C297" s="25"/>
      <c r="D297" s="26"/>
      <c r="I297" s="27"/>
    </row>
    <row r="298" spans="3:9" ht="13.2" x14ac:dyDescent="0.25">
      <c r="C298" s="25"/>
      <c r="D298" s="26"/>
      <c r="I298" s="27"/>
    </row>
    <row r="299" spans="3:9" ht="13.2" x14ac:dyDescent="0.25">
      <c r="C299" s="25"/>
      <c r="D299" s="26"/>
      <c r="I299" s="27"/>
    </row>
    <row r="300" spans="3:9" ht="13.2" x14ac:dyDescent="0.25">
      <c r="C300" s="25"/>
      <c r="D300" s="26"/>
      <c r="I300" s="27"/>
    </row>
    <row r="301" spans="3:9" ht="13.2" x14ac:dyDescent="0.25">
      <c r="C301" s="25"/>
      <c r="D301" s="26"/>
      <c r="I301" s="27"/>
    </row>
    <row r="302" spans="3:9" ht="13.2" x14ac:dyDescent="0.25">
      <c r="C302" s="25"/>
      <c r="D302" s="26"/>
      <c r="I302" s="27"/>
    </row>
    <row r="303" spans="3:9" ht="13.2" x14ac:dyDescent="0.25">
      <c r="C303" s="25"/>
      <c r="D303" s="26"/>
      <c r="I303" s="27"/>
    </row>
    <row r="304" spans="3:9" ht="13.2" x14ac:dyDescent="0.25">
      <c r="C304" s="25"/>
      <c r="D304" s="26"/>
      <c r="I304" s="27"/>
    </row>
    <row r="305" spans="3:9" ht="13.2" x14ac:dyDescent="0.25">
      <c r="C305" s="25"/>
      <c r="D305" s="26"/>
      <c r="I305" s="27"/>
    </row>
    <row r="306" spans="3:9" ht="13.2" x14ac:dyDescent="0.25">
      <c r="C306" s="25"/>
      <c r="D306" s="26"/>
      <c r="I306" s="27"/>
    </row>
    <row r="307" spans="3:9" ht="13.2" x14ac:dyDescent="0.25">
      <c r="C307" s="25"/>
      <c r="D307" s="26"/>
      <c r="I307" s="27"/>
    </row>
    <row r="308" spans="3:9" ht="13.2" x14ac:dyDescent="0.25">
      <c r="C308" s="25"/>
      <c r="D308" s="26"/>
      <c r="I308" s="27"/>
    </row>
    <row r="309" spans="3:9" ht="13.2" x14ac:dyDescent="0.25">
      <c r="C309" s="25"/>
      <c r="D309" s="26"/>
      <c r="I309" s="27"/>
    </row>
    <row r="310" spans="3:9" ht="13.2" x14ac:dyDescent="0.25">
      <c r="C310" s="25"/>
      <c r="D310" s="26"/>
      <c r="I310" s="27"/>
    </row>
    <row r="311" spans="3:9" ht="13.2" x14ac:dyDescent="0.25">
      <c r="C311" s="25"/>
      <c r="D311" s="26"/>
      <c r="I311" s="27"/>
    </row>
    <row r="312" spans="3:9" ht="13.2" x14ac:dyDescent="0.25">
      <c r="C312" s="25"/>
      <c r="D312" s="26"/>
      <c r="I312" s="27"/>
    </row>
    <row r="313" spans="3:9" ht="13.2" x14ac:dyDescent="0.25">
      <c r="C313" s="25"/>
      <c r="D313" s="26"/>
      <c r="I313" s="27"/>
    </row>
    <row r="314" spans="3:9" ht="13.2" x14ac:dyDescent="0.25">
      <c r="C314" s="25"/>
      <c r="D314" s="26"/>
      <c r="I314" s="27"/>
    </row>
    <row r="315" spans="3:9" ht="13.2" x14ac:dyDescent="0.25">
      <c r="C315" s="25"/>
      <c r="D315" s="26"/>
      <c r="I315" s="27"/>
    </row>
    <row r="316" spans="3:9" ht="13.2" x14ac:dyDescent="0.25">
      <c r="C316" s="25"/>
      <c r="D316" s="26"/>
      <c r="I316" s="27"/>
    </row>
    <row r="317" spans="3:9" ht="13.2" x14ac:dyDescent="0.25">
      <c r="C317" s="25"/>
      <c r="D317" s="26"/>
      <c r="I317" s="27"/>
    </row>
    <row r="318" spans="3:9" ht="13.2" x14ac:dyDescent="0.25">
      <c r="C318" s="25"/>
      <c r="D318" s="26"/>
      <c r="I318" s="27"/>
    </row>
    <row r="319" spans="3:9" ht="13.2" x14ac:dyDescent="0.25">
      <c r="C319" s="25"/>
      <c r="D319" s="26"/>
      <c r="I319" s="27"/>
    </row>
    <row r="320" spans="3:9" ht="13.2" x14ac:dyDescent="0.25">
      <c r="C320" s="25"/>
      <c r="D320" s="26"/>
      <c r="I320" s="27"/>
    </row>
    <row r="321" spans="3:9" ht="13.2" x14ac:dyDescent="0.25">
      <c r="C321" s="25"/>
      <c r="D321" s="26"/>
      <c r="I321" s="27"/>
    </row>
    <row r="322" spans="3:9" ht="13.2" x14ac:dyDescent="0.25">
      <c r="C322" s="25"/>
      <c r="D322" s="26"/>
      <c r="I322" s="27"/>
    </row>
    <row r="323" spans="3:9" ht="13.2" x14ac:dyDescent="0.25">
      <c r="C323" s="25"/>
      <c r="D323" s="26"/>
      <c r="I323" s="27"/>
    </row>
    <row r="324" spans="3:9" ht="13.2" x14ac:dyDescent="0.25">
      <c r="C324" s="25"/>
      <c r="D324" s="26"/>
      <c r="I324" s="27"/>
    </row>
    <row r="325" spans="3:9" ht="13.2" x14ac:dyDescent="0.25">
      <c r="C325" s="25"/>
      <c r="D325" s="26"/>
      <c r="I325" s="27"/>
    </row>
    <row r="326" spans="3:9" ht="13.2" x14ac:dyDescent="0.25">
      <c r="C326" s="25"/>
      <c r="D326" s="26"/>
      <c r="I326" s="27"/>
    </row>
    <row r="327" spans="3:9" ht="13.2" x14ac:dyDescent="0.25">
      <c r="C327" s="25"/>
      <c r="D327" s="26"/>
      <c r="I327" s="27"/>
    </row>
    <row r="328" spans="3:9" ht="13.2" x14ac:dyDescent="0.25">
      <c r="C328" s="25"/>
      <c r="D328" s="26"/>
      <c r="I328" s="27"/>
    </row>
    <row r="329" spans="3:9" ht="13.2" x14ac:dyDescent="0.25">
      <c r="C329" s="25"/>
      <c r="D329" s="26"/>
      <c r="I329" s="27"/>
    </row>
    <row r="330" spans="3:9" ht="13.2" x14ac:dyDescent="0.25">
      <c r="C330" s="25"/>
      <c r="D330" s="26"/>
      <c r="I330" s="27"/>
    </row>
    <row r="331" spans="3:9" ht="13.2" x14ac:dyDescent="0.25">
      <c r="C331" s="25"/>
      <c r="D331" s="26"/>
      <c r="I331" s="27"/>
    </row>
    <row r="332" spans="3:9" ht="13.2" x14ac:dyDescent="0.25">
      <c r="C332" s="25"/>
      <c r="D332" s="26"/>
      <c r="I332" s="27"/>
    </row>
    <row r="333" spans="3:9" ht="13.2" x14ac:dyDescent="0.25">
      <c r="C333" s="25"/>
      <c r="D333" s="26"/>
      <c r="I333" s="27"/>
    </row>
    <row r="334" spans="3:9" ht="13.2" x14ac:dyDescent="0.25">
      <c r="C334" s="25"/>
      <c r="D334" s="26"/>
      <c r="I334" s="27"/>
    </row>
    <row r="335" spans="3:9" ht="13.2" x14ac:dyDescent="0.25">
      <c r="C335" s="25"/>
      <c r="D335" s="26"/>
      <c r="I335" s="27"/>
    </row>
    <row r="336" spans="3:9" ht="13.2" x14ac:dyDescent="0.25">
      <c r="C336" s="25"/>
      <c r="D336" s="26"/>
      <c r="I336" s="27"/>
    </row>
    <row r="337" spans="3:9" ht="13.2" x14ac:dyDescent="0.25">
      <c r="C337" s="25"/>
      <c r="D337" s="26"/>
      <c r="I337" s="27"/>
    </row>
    <row r="338" spans="3:9" ht="13.2" x14ac:dyDescent="0.25">
      <c r="C338" s="25"/>
      <c r="D338" s="26"/>
      <c r="I338" s="27"/>
    </row>
    <row r="339" spans="3:9" ht="13.2" x14ac:dyDescent="0.25">
      <c r="C339" s="25"/>
      <c r="D339" s="26"/>
      <c r="I339" s="27"/>
    </row>
    <row r="340" spans="3:9" ht="13.2" x14ac:dyDescent="0.25">
      <c r="C340" s="25"/>
      <c r="D340" s="26"/>
      <c r="I340" s="27"/>
    </row>
    <row r="341" spans="3:9" ht="13.2" x14ac:dyDescent="0.25">
      <c r="C341" s="25"/>
      <c r="D341" s="26"/>
      <c r="I341" s="27"/>
    </row>
    <row r="342" spans="3:9" ht="13.2" x14ac:dyDescent="0.25">
      <c r="C342" s="25"/>
      <c r="D342" s="26"/>
      <c r="I342" s="27"/>
    </row>
    <row r="343" spans="3:9" ht="13.2" x14ac:dyDescent="0.25">
      <c r="C343" s="25"/>
      <c r="D343" s="26"/>
      <c r="I343" s="27"/>
    </row>
    <row r="344" spans="3:9" ht="13.2" x14ac:dyDescent="0.25">
      <c r="C344" s="25"/>
      <c r="D344" s="26"/>
      <c r="I344" s="27"/>
    </row>
    <row r="345" spans="3:9" ht="13.2" x14ac:dyDescent="0.25">
      <c r="C345" s="25"/>
      <c r="D345" s="26"/>
      <c r="I345" s="27"/>
    </row>
    <row r="346" spans="3:9" ht="13.2" x14ac:dyDescent="0.25">
      <c r="C346" s="25"/>
      <c r="D346" s="26"/>
      <c r="I346" s="27"/>
    </row>
    <row r="347" spans="3:9" ht="13.2" x14ac:dyDescent="0.25">
      <c r="C347" s="25"/>
      <c r="D347" s="26"/>
      <c r="I347" s="27"/>
    </row>
    <row r="348" spans="3:9" ht="13.2" x14ac:dyDescent="0.25">
      <c r="C348" s="25"/>
      <c r="D348" s="26"/>
      <c r="I348" s="27"/>
    </row>
    <row r="349" spans="3:9" ht="13.2" x14ac:dyDescent="0.25">
      <c r="C349" s="25"/>
      <c r="D349" s="26"/>
      <c r="I349" s="27"/>
    </row>
    <row r="350" spans="3:9" ht="13.2" x14ac:dyDescent="0.25">
      <c r="C350" s="25"/>
      <c r="D350" s="26"/>
      <c r="I350" s="27"/>
    </row>
    <row r="351" spans="3:9" ht="13.2" x14ac:dyDescent="0.25">
      <c r="C351" s="25"/>
      <c r="D351" s="26"/>
      <c r="I351" s="27"/>
    </row>
    <row r="352" spans="3:9" ht="13.2" x14ac:dyDescent="0.25">
      <c r="C352" s="25"/>
      <c r="D352" s="26"/>
      <c r="I352" s="27"/>
    </row>
    <row r="353" spans="3:9" ht="13.2" x14ac:dyDescent="0.25">
      <c r="C353" s="25"/>
      <c r="D353" s="26"/>
      <c r="I353" s="27"/>
    </row>
    <row r="354" spans="3:9" ht="13.2" x14ac:dyDescent="0.25">
      <c r="C354" s="25"/>
      <c r="D354" s="26"/>
      <c r="I354" s="27"/>
    </row>
    <row r="355" spans="3:9" ht="13.2" x14ac:dyDescent="0.25">
      <c r="C355" s="25"/>
      <c r="D355" s="26"/>
      <c r="I355" s="27"/>
    </row>
    <row r="356" spans="3:9" ht="13.2" x14ac:dyDescent="0.25">
      <c r="C356" s="25"/>
      <c r="D356" s="26"/>
      <c r="I356" s="27"/>
    </row>
    <row r="357" spans="3:9" ht="13.2" x14ac:dyDescent="0.25">
      <c r="C357" s="25"/>
      <c r="D357" s="26"/>
      <c r="I357" s="27"/>
    </row>
    <row r="358" spans="3:9" ht="13.2" x14ac:dyDescent="0.25">
      <c r="C358" s="25"/>
      <c r="D358" s="26"/>
      <c r="I358" s="27"/>
    </row>
    <row r="359" spans="3:9" ht="13.2" x14ac:dyDescent="0.25">
      <c r="C359" s="25"/>
      <c r="D359" s="26"/>
      <c r="I359" s="27"/>
    </row>
    <row r="360" spans="3:9" ht="13.2" x14ac:dyDescent="0.25">
      <c r="C360" s="25"/>
      <c r="D360" s="26"/>
      <c r="I360" s="27"/>
    </row>
    <row r="361" spans="3:9" ht="13.2" x14ac:dyDescent="0.25">
      <c r="C361" s="25"/>
      <c r="D361" s="26"/>
      <c r="I361" s="27"/>
    </row>
    <row r="362" spans="3:9" ht="13.2" x14ac:dyDescent="0.25">
      <c r="C362" s="25"/>
      <c r="D362" s="26"/>
      <c r="I362" s="27"/>
    </row>
    <row r="363" spans="3:9" ht="13.2" x14ac:dyDescent="0.25">
      <c r="C363" s="25"/>
      <c r="D363" s="26"/>
      <c r="I363" s="27"/>
    </row>
    <row r="364" spans="3:9" ht="13.2" x14ac:dyDescent="0.25">
      <c r="C364" s="25"/>
      <c r="D364" s="26"/>
      <c r="I364" s="27"/>
    </row>
    <row r="365" spans="3:9" ht="13.2" x14ac:dyDescent="0.25">
      <c r="C365" s="25"/>
      <c r="D365" s="26"/>
      <c r="I365" s="27"/>
    </row>
    <row r="366" spans="3:9" ht="13.2" x14ac:dyDescent="0.25">
      <c r="C366" s="25"/>
      <c r="D366" s="26"/>
      <c r="I366" s="27"/>
    </row>
    <row r="367" spans="3:9" ht="13.2" x14ac:dyDescent="0.25">
      <c r="C367" s="25"/>
      <c r="D367" s="26"/>
      <c r="I367" s="27"/>
    </row>
    <row r="368" spans="3:9" ht="13.2" x14ac:dyDescent="0.25">
      <c r="C368" s="25"/>
      <c r="D368" s="26"/>
      <c r="I368" s="27"/>
    </row>
    <row r="369" spans="3:9" ht="13.2" x14ac:dyDescent="0.25">
      <c r="C369" s="25"/>
      <c r="D369" s="26"/>
      <c r="I369" s="27"/>
    </row>
    <row r="370" spans="3:9" ht="13.2" x14ac:dyDescent="0.25">
      <c r="C370" s="25"/>
      <c r="D370" s="26"/>
      <c r="I370" s="27"/>
    </row>
    <row r="371" spans="3:9" ht="13.2" x14ac:dyDescent="0.25">
      <c r="C371" s="25"/>
      <c r="D371" s="26"/>
      <c r="I371" s="27"/>
    </row>
    <row r="372" spans="3:9" ht="13.2" x14ac:dyDescent="0.25">
      <c r="C372" s="25"/>
      <c r="D372" s="26"/>
      <c r="I372" s="27"/>
    </row>
    <row r="373" spans="3:9" ht="13.2" x14ac:dyDescent="0.25">
      <c r="C373" s="25"/>
      <c r="D373" s="26"/>
      <c r="I373" s="27"/>
    </row>
    <row r="374" spans="3:9" ht="13.2" x14ac:dyDescent="0.25">
      <c r="C374" s="25"/>
      <c r="D374" s="26"/>
      <c r="I374" s="27"/>
    </row>
    <row r="375" spans="3:9" ht="13.2" x14ac:dyDescent="0.25">
      <c r="C375" s="25"/>
      <c r="D375" s="26"/>
      <c r="I375" s="27"/>
    </row>
    <row r="376" spans="3:9" ht="13.2" x14ac:dyDescent="0.25">
      <c r="C376" s="25"/>
      <c r="D376" s="26"/>
      <c r="I376" s="27"/>
    </row>
    <row r="377" spans="3:9" ht="13.2" x14ac:dyDescent="0.25">
      <c r="C377" s="25"/>
      <c r="D377" s="26"/>
      <c r="I377" s="27"/>
    </row>
    <row r="378" spans="3:9" ht="13.2" x14ac:dyDescent="0.25">
      <c r="C378" s="25"/>
      <c r="D378" s="26"/>
      <c r="I378" s="27"/>
    </row>
    <row r="379" spans="3:9" ht="13.2" x14ac:dyDescent="0.25">
      <c r="C379" s="25"/>
      <c r="D379" s="26"/>
      <c r="I379" s="27"/>
    </row>
    <row r="380" spans="3:9" ht="13.2" x14ac:dyDescent="0.25">
      <c r="C380" s="25"/>
      <c r="D380" s="26"/>
      <c r="I380" s="27"/>
    </row>
    <row r="381" spans="3:9" ht="13.2" x14ac:dyDescent="0.25">
      <c r="C381" s="25"/>
      <c r="D381" s="26"/>
      <c r="I381" s="27"/>
    </row>
    <row r="382" spans="3:9" ht="13.2" x14ac:dyDescent="0.25">
      <c r="C382" s="25"/>
      <c r="D382" s="26"/>
      <c r="I382" s="27"/>
    </row>
    <row r="383" spans="3:9" ht="13.2" x14ac:dyDescent="0.25">
      <c r="C383" s="25"/>
      <c r="D383" s="26"/>
      <c r="I383" s="27"/>
    </row>
    <row r="384" spans="3:9" ht="13.2" x14ac:dyDescent="0.25">
      <c r="C384" s="25"/>
      <c r="D384" s="26"/>
      <c r="I384" s="27"/>
    </row>
    <row r="385" spans="3:9" ht="13.2" x14ac:dyDescent="0.25">
      <c r="C385" s="25"/>
      <c r="D385" s="26"/>
      <c r="I385" s="27"/>
    </row>
    <row r="386" spans="3:9" ht="13.2" x14ac:dyDescent="0.25">
      <c r="C386" s="25"/>
      <c r="D386" s="26"/>
      <c r="I386" s="27"/>
    </row>
    <row r="387" spans="3:9" ht="13.2" x14ac:dyDescent="0.25">
      <c r="C387" s="25"/>
      <c r="D387" s="26"/>
      <c r="I387" s="27"/>
    </row>
    <row r="388" spans="3:9" ht="13.2" x14ac:dyDescent="0.25">
      <c r="C388" s="25"/>
      <c r="D388" s="26"/>
      <c r="I388" s="27"/>
    </row>
    <row r="389" spans="3:9" ht="13.2" x14ac:dyDescent="0.25">
      <c r="C389" s="25"/>
      <c r="D389" s="26"/>
      <c r="I389" s="27"/>
    </row>
    <row r="390" spans="3:9" ht="13.2" x14ac:dyDescent="0.25">
      <c r="C390" s="25"/>
      <c r="D390" s="26"/>
      <c r="I390" s="27"/>
    </row>
    <row r="391" spans="3:9" ht="13.2" x14ac:dyDescent="0.25">
      <c r="C391" s="25"/>
      <c r="D391" s="26"/>
      <c r="I391" s="27"/>
    </row>
    <row r="392" spans="3:9" ht="13.2" x14ac:dyDescent="0.25">
      <c r="C392" s="25"/>
      <c r="D392" s="26"/>
      <c r="I392" s="27"/>
    </row>
    <row r="393" spans="3:9" ht="13.2" x14ac:dyDescent="0.25">
      <c r="C393" s="25"/>
      <c r="D393" s="26"/>
      <c r="I393" s="27"/>
    </row>
    <row r="394" spans="3:9" ht="13.2" x14ac:dyDescent="0.25">
      <c r="C394" s="25"/>
      <c r="D394" s="26"/>
      <c r="I394" s="27"/>
    </row>
    <row r="395" spans="3:9" ht="13.2" x14ac:dyDescent="0.25">
      <c r="C395" s="25"/>
      <c r="D395" s="26"/>
      <c r="I395" s="27"/>
    </row>
    <row r="396" spans="3:9" ht="13.2" x14ac:dyDescent="0.25">
      <c r="C396" s="25"/>
      <c r="D396" s="26"/>
      <c r="I396" s="27"/>
    </row>
    <row r="397" spans="3:9" ht="13.2" x14ac:dyDescent="0.25">
      <c r="C397" s="25"/>
      <c r="D397" s="26"/>
      <c r="I397" s="27"/>
    </row>
    <row r="398" spans="3:9" ht="13.2" x14ac:dyDescent="0.25">
      <c r="C398" s="25"/>
      <c r="D398" s="26"/>
      <c r="I398" s="27"/>
    </row>
    <row r="399" spans="3:9" ht="13.2" x14ac:dyDescent="0.25">
      <c r="C399" s="25"/>
      <c r="D399" s="26"/>
      <c r="I399" s="27"/>
    </row>
    <row r="400" spans="3:9" ht="13.2" x14ac:dyDescent="0.25">
      <c r="C400" s="25"/>
      <c r="D400" s="26"/>
      <c r="I400" s="27"/>
    </row>
    <row r="401" spans="3:9" ht="13.2" x14ac:dyDescent="0.25">
      <c r="C401" s="25"/>
      <c r="D401" s="26"/>
      <c r="I401" s="27"/>
    </row>
    <row r="402" spans="3:9" ht="13.2" x14ac:dyDescent="0.25">
      <c r="C402" s="25"/>
      <c r="D402" s="26"/>
      <c r="I402" s="27"/>
    </row>
    <row r="403" spans="3:9" ht="13.2" x14ac:dyDescent="0.25">
      <c r="C403" s="25"/>
      <c r="D403" s="26"/>
      <c r="I403" s="27"/>
    </row>
    <row r="404" spans="3:9" ht="13.2" x14ac:dyDescent="0.25">
      <c r="C404" s="25"/>
      <c r="D404" s="26"/>
      <c r="I404" s="27"/>
    </row>
    <row r="405" spans="3:9" ht="13.2" x14ac:dyDescent="0.25">
      <c r="C405" s="25"/>
      <c r="D405" s="26"/>
      <c r="I405" s="27"/>
    </row>
    <row r="406" spans="3:9" ht="13.2" x14ac:dyDescent="0.25">
      <c r="C406" s="25"/>
      <c r="D406" s="26"/>
      <c r="I406" s="27"/>
    </row>
    <row r="407" spans="3:9" ht="13.2" x14ac:dyDescent="0.25">
      <c r="C407" s="25"/>
      <c r="D407" s="26"/>
      <c r="I407" s="27"/>
    </row>
    <row r="408" spans="3:9" ht="13.2" x14ac:dyDescent="0.25">
      <c r="C408" s="25"/>
      <c r="D408" s="26"/>
      <c r="I408" s="27"/>
    </row>
    <row r="409" spans="3:9" ht="13.2" x14ac:dyDescent="0.25">
      <c r="C409" s="25"/>
      <c r="D409" s="26"/>
      <c r="I409" s="27"/>
    </row>
    <row r="410" spans="3:9" ht="13.2" x14ac:dyDescent="0.25">
      <c r="C410" s="25"/>
      <c r="D410" s="26"/>
      <c r="I410" s="27"/>
    </row>
    <row r="411" spans="3:9" ht="13.2" x14ac:dyDescent="0.25">
      <c r="C411" s="25"/>
      <c r="D411" s="26"/>
      <c r="I411" s="27"/>
    </row>
    <row r="412" spans="3:9" ht="13.2" x14ac:dyDescent="0.25">
      <c r="C412" s="25"/>
      <c r="D412" s="26"/>
      <c r="I412" s="27"/>
    </row>
    <row r="413" spans="3:9" ht="13.2" x14ac:dyDescent="0.25">
      <c r="C413" s="25"/>
      <c r="D413" s="26"/>
      <c r="I413" s="27"/>
    </row>
    <row r="414" spans="3:9" ht="13.2" x14ac:dyDescent="0.25">
      <c r="C414" s="25"/>
      <c r="D414" s="26"/>
      <c r="I414" s="27"/>
    </row>
    <row r="415" spans="3:9" ht="13.2" x14ac:dyDescent="0.25">
      <c r="C415" s="25"/>
      <c r="D415" s="26"/>
      <c r="I415" s="27"/>
    </row>
    <row r="416" spans="3:9" ht="13.2" x14ac:dyDescent="0.25">
      <c r="C416" s="25"/>
      <c r="D416" s="26"/>
      <c r="I416" s="27"/>
    </row>
    <row r="417" spans="3:9" ht="13.2" x14ac:dyDescent="0.25">
      <c r="C417" s="25"/>
      <c r="D417" s="26"/>
      <c r="I417" s="27"/>
    </row>
    <row r="418" spans="3:9" ht="13.2" x14ac:dyDescent="0.25">
      <c r="C418" s="25"/>
      <c r="D418" s="26"/>
      <c r="I418" s="27"/>
    </row>
    <row r="419" spans="3:9" ht="13.2" x14ac:dyDescent="0.25">
      <c r="C419" s="25"/>
      <c r="D419" s="26"/>
      <c r="I419" s="27"/>
    </row>
    <row r="420" spans="3:9" ht="13.2" x14ac:dyDescent="0.25">
      <c r="C420" s="25"/>
      <c r="D420" s="26"/>
      <c r="I420" s="27"/>
    </row>
    <row r="421" spans="3:9" ht="13.2" x14ac:dyDescent="0.25">
      <c r="C421" s="25"/>
      <c r="D421" s="26"/>
      <c r="I421" s="27"/>
    </row>
    <row r="422" spans="3:9" ht="13.2" x14ac:dyDescent="0.25">
      <c r="C422" s="25"/>
      <c r="D422" s="26"/>
      <c r="I422" s="27"/>
    </row>
    <row r="423" spans="3:9" ht="13.2" x14ac:dyDescent="0.25">
      <c r="C423" s="25"/>
      <c r="D423" s="26"/>
      <c r="I423" s="27"/>
    </row>
    <row r="424" spans="3:9" ht="13.2" x14ac:dyDescent="0.25">
      <c r="C424" s="25"/>
      <c r="D424" s="26"/>
      <c r="I424" s="27"/>
    </row>
    <row r="425" spans="3:9" ht="13.2" x14ac:dyDescent="0.25">
      <c r="C425" s="25"/>
      <c r="D425" s="26"/>
      <c r="I425" s="27"/>
    </row>
    <row r="426" spans="3:9" ht="13.2" x14ac:dyDescent="0.25">
      <c r="C426" s="25"/>
      <c r="D426" s="26"/>
      <c r="I426" s="27"/>
    </row>
    <row r="427" spans="3:9" ht="13.2" x14ac:dyDescent="0.25">
      <c r="C427" s="25"/>
      <c r="D427" s="26"/>
      <c r="I427" s="27"/>
    </row>
    <row r="428" spans="3:9" ht="13.2" x14ac:dyDescent="0.25">
      <c r="C428" s="25"/>
      <c r="D428" s="26"/>
      <c r="I428" s="27"/>
    </row>
    <row r="429" spans="3:9" ht="13.2" x14ac:dyDescent="0.25">
      <c r="C429" s="25"/>
      <c r="D429" s="26"/>
      <c r="I429" s="27"/>
    </row>
    <row r="430" spans="3:9" ht="13.2" x14ac:dyDescent="0.25">
      <c r="C430" s="25"/>
      <c r="D430" s="26"/>
      <c r="I430" s="27"/>
    </row>
    <row r="431" spans="3:9" ht="13.2" x14ac:dyDescent="0.25">
      <c r="C431" s="25"/>
      <c r="D431" s="26"/>
      <c r="I431" s="27"/>
    </row>
    <row r="432" spans="3:9" ht="13.2" x14ac:dyDescent="0.25">
      <c r="C432" s="25"/>
      <c r="D432" s="26"/>
      <c r="I432" s="27"/>
    </row>
    <row r="433" spans="3:9" ht="13.2" x14ac:dyDescent="0.25">
      <c r="C433" s="25"/>
      <c r="D433" s="26"/>
      <c r="I433" s="27"/>
    </row>
    <row r="434" spans="3:9" ht="13.2" x14ac:dyDescent="0.25">
      <c r="C434" s="25"/>
      <c r="D434" s="26"/>
      <c r="I434" s="27"/>
    </row>
    <row r="435" spans="3:9" ht="13.2" x14ac:dyDescent="0.25">
      <c r="C435" s="25"/>
      <c r="D435" s="26"/>
      <c r="I435" s="27"/>
    </row>
    <row r="436" spans="3:9" ht="13.2" x14ac:dyDescent="0.25">
      <c r="C436" s="25"/>
      <c r="D436" s="26"/>
      <c r="I436" s="27"/>
    </row>
    <row r="437" spans="3:9" ht="13.2" x14ac:dyDescent="0.25">
      <c r="C437" s="25"/>
      <c r="D437" s="26"/>
      <c r="I437" s="27"/>
    </row>
    <row r="438" spans="3:9" ht="13.2" x14ac:dyDescent="0.25">
      <c r="C438" s="25"/>
      <c r="D438" s="26"/>
      <c r="I438" s="27"/>
    </row>
    <row r="439" spans="3:9" ht="13.2" x14ac:dyDescent="0.25">
      <c r="C439" s="25"/>
      <c r="D439" s="26"/>
      <c r="I439" s="27"/>
    </row>
    <row r="440" spans="3:9" ht="13.2" x14ac:dyDescent="0.25">
      <c r="C440" s="25"/>
      <c r="D440" s="26"/>
      <c r="I440" s="27"/>
    </row>
    <row r="441" spans="3:9" ht="13.2" x14ac:dyDescent="0.25">
      <c r="C441" s="25"/>
      <c r="D441" s="26"/>
      <c r="I441" s="27"/>
    </row>
    <row r="442" spans="3:9" ht="13.2" x14ac:dyDescent="0.25">
      <c r="C442" s="25"/>
      <c r="D442" s="26"/>
      <c r="I442" s="27"/>
    </row>
    <row r="443" spans="3:9" ht="13.2" x14ac:dyDescent="0.25">
      <c r="C443" s="25"/>
      <c r="D443" s="26"/>
      <c r="I443" s="27"/>
    </row>
    <row r="444" spans="3:9" ht="13.2" x14ac:dyDescent="0.25">
      <c r="C444" s="25"/>
      <c r="D444" s="26"/>
      <c r="I444" s="27"/>
    </row>
    <row r="445" spans="3:9" ht="13.2" x14ac:dyDescent="0.25">
      <c r="C445" s="25"/>
      <c r="D445" s="26"/>
      <c r="I445" s="27"/>
    </row>
    <row r="446" spans="3:9" ht="13.2" x14ac:dyDescent="0.25">
      <c r="C446" s="25"/>
      <c r="D446" s="26"/>
      <c r="I446" s="27"/>
    </row>
    <row r="447" spans="3:9" ht="13.2" x14ac:dyDescent="0.25">
      <c r="C447" s="25"/>
      <c r="D447" s="26"/>
      <c r="I447" s="27"/>
    </row>
    <row r="448" spans="3:9" ht="13.2" x14ac:dyDescent="0.25">
      <c r="C448" s="25"/>
      <c r="D448" s="26"/>
      <c r="I448" s="27"/>
    </row>
    <row r="449" spans="3:9" ht="13.2" x14ac:dyDescent="0.25">
      <c r="C449" s="25"/>
      <c r="D449" s="26"/>
      <c r="I449" s="27"/>
    </row>
    <row r="450" spans="3:9" ht="13.2" x14ac:dyDescent="0.25">
      <c r="C450" s="25"/>
      <c r="D450" s="26"/>
      <c r="I450" s="27"/>
    </row>
    <row r="451" spans="3:9" ht="13.2" x14ac:dyDescent="0.25">
      <c r="C451" s="25"/>
      <c r="D451" s="26"/>
      <c r="I451" s="27"/>
    </row>
    <row r="452" spans="3:9" ht="13.2" x14ac:dyDescent="0.25">
      <c r="C452" s="25"/>
      <c r="D452" s="26"/>
      <c r="I452" s="27"/>
    </row>
    <row r="453" spans="3:9" ht="13.2" x14ac:dyDescent="0.25">
      <c r="C453" s="25"/>
      <c r="D453" s="26"/>
      <c r="I453" s="27"/>
    </row>
    <row r="454" spans="3:9" ht="13.2" x14ac:dyDescent="0.25">
      <c r="C454" s="25"/>
      <c r="D454" s="26"/>
      <c r="I454" s="27"/>
    </row>
    <row r="455" spans="3:9" ht="13.2" x14ac:dyDescent="0.25">
      <c r="C455" s="25"/>
      <c r="D455" s="26"/>
      <c r="I455" s="27"/>
    </row>
    <row r="456" spans="3:9" ht="13.2" x14ac:dyDescent="0.25">
      <c r="C456" s="25"/>
      <c r="D456" s="26"/>
      <c r="I456" s="27"/>
    </row>
    <row r="457" spans="3:9" ht="13.2" x14ac:dyDescent="0.25">
      <c r="C457" s="25"/>
      <c r="D457" s="26"/>
      <c r="I457" s="27"/>
    </row>
    <row r="458" spans="3:9" ht="13.2" x14ac:dyDescent="0.25">
      <c r="C458" s="25"/>
      <c r="D458" s="26"/>
      <c r="I458" s="27"/>
    </row>
    <row r="459" spans="3:9" ht="13.2" x14ac:dyDescent="0.25">
      <c r="C459" s="25"/>
      <c r="D459" s="26"/>
      <c r="I459" s="27"/>
    </row>
    <row r="460" spans="3:9" ht="13.2" x14ac:dyDescent="0.25">
      <c r="C460" s="25"/>
      <c r="D460" s="26"/>
      <c r="I460" s="27"/>
    </row>
    <row r="461" spans="3:9" ht="13.2" x14ac:dyDescent="0.25">
      <c r="C461" s="25"/>
      <c r="D461" s="26"/>
      <c r="I461" s="27"/>
    </row>
    <row r="462" spans="3:9" ht="13.2" x14ac:dyDescent="0.25">
      <c r="C462" s="25"/>
      <c r="D462" s="26"/>
      <c r="I462" s="27"/>
    </row>
    <row r="463" spans="3:9" ht="13.2" x14ac:dyDescent="0.25">
      <c r="C463" s="25"/>
      <c r="D463" s="26"/>
      <c r="I463" s="27"/>
    </row>
    <row r="464" spans="3:9" ht="13.2" x14ac:dyDescent="0.25">
      <c r="C464" s="25"/>
      <c r="D464" s="26"/>
      <c r="I464" s="27"/>
    </row>
    <row r="465" spans="3:9" ht="13.2" x14ac:dyDescent="0.25">
      <c r="C465" s="25"/>
      <c r="D465" s="26"/>
      <c r="I465" s="27"/>
    </row>
    <row r="466" spans="3:9" ht="13.2" x14ac:dyDescent="0.25">
      <c r="C466" s="25"/>
      <c r="D466" s="26"/>
      <c r="I466" s="27"/>
    </row>
    <row r="467" spans="3:9" ht="13.2" x14ac:dyDescent="0.25">
      <c r="C467" s="25"/>
      <c r="D467" s="26"/>
      <c r="I467" s="27"/>
    </row>
    <row r="468" spans="3:9" ht="13.2" x14ac:dyDescent="0.25">
      <c r="C468" s="25"/>
      <c r="D468" s="26"/>
      <c r="I468" s="27"/>
    </row>
    <row r="469" spans="3:9" ht="13.2" x14ac:dyDescent="0.25">
      <c r="C469" s="25"/>
      <c r="D469" s="26"/>
      <c r="I469" s="27"/>
    </row>
    <row r="470" spans="3:9" ht="13.2" x14ac:dyDescent="0.25">
      <c r="C470" s="25"/>
      <c r="D470" s="26"/>
      <c r="I470" s="27"/>
    </row>
    <row r="471" spans="3:9" ht="13.2" x14ac:dyDescent="0.25">
      <c r="C471" s="25"/>
      <c r="D471" s="26"/>
      <c r="I471" s="27"/>
    </row>
    <row r="472" spans="3:9" ht="13.2" x14ac:dyDescent="0.25">
      <c r="C472" s="25"/>
      <c r="D472" s="26"/>
      <c r="I472" s="27"/>
    </row>
    <row r="473" spans="3:9" ht="13.2" x14ac:dyDescent="0.25">
      <c r="C473" s="25"/>
      <c r="D473" s="26"/>
      <c r="I473" s="27"/>
    </row>
    <row r="474" spans="3:9" ht="13.2" x14ac:dyDescent="0.25">
      <c r="C474" s="25"/>
      <c r="D474" s="26"/>
      <c r="I474" s="27"/>
    </row>
    <row r="475" spans="3:9" ht="13.2" x14ac:dyDescent="0.25">
      <c r="C475" s="25"/>
      <c r="D475" s="26"/>
      <c r="I475" s="27"/>
    </row>
    <row r="476" spans="3:9" ht="13.2" x14ac:dyDescent="0.25">
      <c r="C476" s="25"/>
      <c r="D476" s="26"/>
      <c r="I476" s="27"/>
    </row>
    <row r="477" spans="3:9" ht="13.2" x14ac:dyDescent="0.25">
      <c r="C477" s="25"/>
      <c r="D477" s="26"/>
      <c r="I477" s="27"/>
    </row>
    <row r="478" spans="3:9" ht="13.2" x14ac:dyDescent="0.25">
      <c r="C478" s="25"/>
      <c r="D478" s="26"/>
      <c r="I478" s="27"/>
    </row>
    <row r="479" spans="3:9" ht="13.2" x14ac:dyDescent="0.25">
      <c r="C479" s="25"/>
      <c r="D479" s="26"/>
      <c r="I479" s="27"/>
    </row>
    <row r="480" spans="3:9" ht="13.2" x14ac:dyDescent="0.25">
      <c r="C480" s="25"/>
      <c r="D480" s="26"/>
      <c r="I480" s="27"/>
    </row>
    <row r="481" spans="3:9" ht="13.2" x14ac:dyDescent="0.25">
      <c r="C481" s="25"/>
      <c r="D481" s="26"/>
      <c r="I481" s="27"/>
    </row>
    <row r="482" spans="3:9" ht="13.2" x14ac:dyDescent="0.25">
      <c r="C482" s="25"/>
      <c r="D482" s="26"/>
      <c r="I482" s="27"/>
    </row>
    <row r="483" spans="3:9" ht="13.2" x14ac:dyDescent="0.25">
      <c r="C483" s="25"/>
      <c r="D483" s="26"/>
      <c r="I483" s="27"/>
    </row>
    <row r="484" spans="3:9" ht="13.2" x14ac:dyDescent="0.25">
      <c r="C484" s="25"/>
      <c r="D484" s="26"/>
      <c r="I484" s="27"/>
    </row>
    <row r="485" spans="3:9" ht="13.2" x14ac:dyDescent="0.25">
      <c r="C485" s="25"/>
      <c r="D485" s="26"/>
      <c r="I485" s="27"/>
    </row>
    <row r="486" spans="3:9" ht="13.2" x14ac:dyDescent="0.25">
      <c r="C486" s="25"/>
      <c r="D486" s="26"/>
      <c r="I486" s="27"/>
    </row>
    <row r="487" spans="3:9" ht="13.2" x14ac:dyDescent="0.25">
      <c r="C487" s="25"/>
      <c r="D487" s="26"/>
      <c r="I487" s="27"/>
    </row>
    <row r="488" spans="3:9" ht="13.2" x14ac:dyDescent="0.25">
      <c r="C488" s="25"/>
      <c r="D488" s="26"/>
      <c r="I488" s="27"/>
    </row>
    <row r="489" spans="3:9" ht="13.2" x14ac:dyDescent="0.25">
      <c r="C489" s="25"/>
      <c r="D489" s="26"/>
      <c r="I489" s="27"/>
    </row>
    <row r="490" spans="3:9" ht="13.2" x14ac:dyDescent="0.25">
      <c r="C490" s="25"/>
      <c r="D490" s="26"/>
      <c r="I490" s="27"/>
    </row>
    <row r="491" spans="3:9" ht="13.2" x14ac:dyDescent="0.25">
      <c r="C491" s="25"/>
      <c r="D491" s="26"/>
      <c r="I491" s="27"/>
    </row>
    <row r="492" spans="3:9" ht="13.2" x14ac:dyDescent="0.25">
      <c r="C492" s="25"/>
      <c r="D492" s="26"/>
      <c r="I492" s="27"/>
    </row>
    <row r="493" spans="3:9" ht="13.2" x14ac:dyDescent="0.25">
      <c r="C493" s="25"/>
      <c r="D493" s="26"/>
      <c r="I493" s="27"/>
    </row>
    <row r="494" spans="3:9" ht="13.2" x14ac:dyDescent="0.25">
      <c r="C494" s="25"/>
      <c r="D494" s="26"/>
      <c r="I494" s="27"/>
    </row>
    <row r="495" spans="3:9" ht="13.2" x14ac:dyDescent="0.25">
      <c r="C495" s="25"/>
      <c r="D495" s="26"/>
      <c r="I495" s="27"/>
    </row>
    <row r="496" spans="3:9" ht="13.2" x14ac:dyDescent="0.25">
      <c r="C496" s="25"/>
      <c r="D496" s="26"/>
      <c r="I496" s="27"/>
    </row>
    <row r="497" spans="3:9" ht="13.2" x14ac:dyDescent="0.25">
      <c r="C497" s="25"/>
      <c r="D497" s="26"/>
      <c r="I497" s="27"/>
    </row>
    <row r="498" spans="3:9" ht="13.2" x14ac:dyDescent="0.25">
      <c r="C498" s="25"/>
      <c r="D498" s="26"/>
      <c r="I498" s="27"/>
    </row>
    <row r="499" spans="3:9" ht="13.2" x14ac:dyDescent="0.25">
      <c r="C499" s="25"/>
      <c r="D499" s="26"/>
      <c r="I499" s="27"/>
    </row>
    <row r="500" spans="3:9" ht="13.2" x14ac:dyDescent="0.25">
      <c r="C500" s="25"/>
      <c r="D500" s="26"/>
      <c r="I500" s="27"/>
    </row>
    <row r="501" spans="3:9" ht="13.2" x14ac:dyDescent="0.25">
      <c r="C501" s="25"/>
      <c r="D501" s="26"/>
      <c r="I501" s="27"/>
    </row>
    <row r="502" spans="3:9" ht="13.2" x14ac:dyDescent="0.25">
      <c r="C502" s="25"/>
      <c r="D502" s="26"/>
      <c r="I502" s="27"/>
    </row>
    <row r="503" spans="3:9" ht="13.2" x14ac:dyDescent="0.25">
      <c r="C503" s="25"/>
      <c r="D503" s="26"/>
      <c r="I503" s="27"/>
    </row>
    <row r="504" spans="3:9" ht="13.2" x14ac:dyDescent="0.25">
      <c r="C504" s="25"/>
      <c r="D504" s="26"/>
      <c r="I504" s="27"/>
    </row>
    <row r="505" spans="3:9" ht="13.2" x14ac:dyDescent="0.25">
      <c r="C505" s="25"/>
      <c r="D505" s="26"/>
      <c r="I505" s="27"/>
    </row>
    <row r="506" spans="3:9" ht="13.2" x14ac:dyDescent="0.25">
      <c r="C506" s="25"/>
      <c r="D506" s="26"/>
      <c r="I506" s="27"/>
    </row>
    <row r="507" spans="3:9" ht="13.2" x14ac:dyDescent="0.25">
      <c r="C507" s="25"/>
      <c r="D507" s="26"/>
      <c r="I507" s="27"/>
    </row>
    <row r="508" spans="3:9" ht="13.2" x14ac:dyDescent="0.25">
      <c r="C508" s="25"/>
      <c r="D508" s="26"/>
      <c r="I508" s="27"/>
    </row>
    <row r="509" spans="3:9" ht="13.2" x14ac:dyDescent="0.25">
      <c r="C509" s="25"/>
      <c r="D509" s="26"/>
      <c r="I509" s="27"/>
    </row>
    <row r="510" spans="3:9" ht="13.2" x14ac:dyDescent="0.25">
      <c r="C510" s="25"/>
      <c r="D510" s="26"/>
      <c r="I510" s="27"/>
    </row>
    <row r="511" spans="3:9" ht="13.2" x14ac:dyDescent="0.25">
      <c r="C511" s="25"/>
      <c r="D511" s="26"/>
      <c r="I511" s="27"/>
    </row>
    <row r="512" spans="3:9" ht="13.2" x14ac:dyDescent="0.25">
      <c r="C512" s="25"/>
      <c r="D512" s="26"/>
      <c r="I512" s="27"/>
    </row>
    <row r="513" spans="3:9" ht="13.2" x14ac:dyDescent="0.25">
      <c r="C513" s="25"/>
      <c r="D513" s="26"/>
      <c r="I513" s="27"/>
    </row>
    <row r="514" spans="3:9" ht="13.2" x14ac:dyDescent="0.25">
      <c r="C514" s="25"/>
      <c r="D514" s="26"/>
      <c r="I514" s="27"/>
    </row>
    <row r="515" spans="3:9" ht="13.2" x14ac:dyDescent="0.25">
      <c r="C515" s="25"/>
      <c r="D515" s="26"/>
      <c r="I515" s="27"/>
    </row>
    <row r="516" spans="3:9" ht="13.2" x14ac:dyDescent="0.25">
      <c r="C516" s="25"/>
      <c r="D516" s="26"/>
      <c r="I516" s="27"/>
    </row>
    <row r="517" spans="3:9" ht="13.2" x14ac:dyDescent="0.25">
      <c r="C517" s="25"/>
      <c r="D517" s="26"/>
      <c r="I517" s="27"/>
    </row>
    <row r="518" spans="3:9" ht="13.2" x14ac:dyDescent="0.25">
      <c r="C518" s="25"/>
      <c r="D518" s="26"/>
      <c r="I518" s="27"/>
    </row>
    <row r="519" spans="3:9" ht="13.2" x14ac:dyDescent="0.25">
      <c r="C519" s="25"/>
      <c r="D519" s="26"/>
      <c r="I519" s="27"/>
    </row>
    <row r="520" spans="3:9" ht="13.2" x14ac:dyDescent="0.25">
      <c r="C520" s="25"/>
      <c r="D520" s="26"/>
      <c r="I520" s="27"/>
    </row>
    <row r="521" spans="3:9" ht="13.2" x14ac:dyDescent="0.25">
      <c r="C521" s="25"/>
      <c r="D521" s="26"/>
      <c r="I521" s="27"/>
    </row>
    <row r="522" spans="3:9" ht="13.2" x14ac:dyDescent="0.25">
      <c r="C522" s="25"/>
      <c r="D522" s="26"/>
      <c r="I522" s="27"/>
    </row>
    <row r="523" spans="3:9" ht="13.2" x14ac:dyDescent="0.25">
      <c r="C523" s="25"/>
      <c r="D523" s="26"/>
      <c r="I523" s="27"/>
    </row>
    <row r="524" spans="3:9" ht="13.2" x14ac:dyDescent="0.25">
      <c r="C524" s="25"/>
      <c r="D524" s="26"/>
      <c r="I524" s="27"/>
    </row>
    <row r="525" spans="3:9" ht="13.2" x14ac:dyDescent="0.25">
      <c r="C525" s="25"/>
      <c r="D525" s="26"/>
      <c r="I525" s="27"/>
    </row>
    <row r="526" spans="3:9" ht="13.2" x14ac:dyDescent="0.25">
      <c r="C526" s="25"/>
      <c r="D526" s="26"/>
      <c r="I526" s="27"/>
    </row>
    <row r="527" spans="3:9" ht="13.2" x14ac:dyDescent="0.25">
      <c r="C527" s="25"/>
      <c r="D527" s="26"/>
      <c r="I527" s="27"/>
    </row>
    <row r="528" spans="3:9" ht="13.2" x14ac:dyDescent="0.25">
      <c r="C528" s="25"/>
      <c r="D528" s="26"/>
      <c r="I528" s="27"/>
    </row>
    <row r="529" spans="3:9" ht="13.2" x14ac:dyDescent="0.25">
      <c r="C529" s="25"/>
      <c r="D529" s="26"/>
      <c r="I529" s="27"/>
    </row>
    <row r="530" spans="3:9" ht="13.2" x14ac:dyDescent="0.25">
      <c r="C530" s="25"/>
      <c r="D530" s="26"/>
      <c r="I530" s="27"/>
    </row>
    <row r="531" spans="3:9" ht="13.2" x14ac:dyDescent="0.25">
      <c r="C531" s="25"/>
      <c r="D531" s="26"/>
      <c r="I531" s="27"/>
    </row>
    <row r="532" spans="3:9" ht="13.2" x14ac:dyDescent="0.25">
      <c r="C532" s="25"/>
      <c r="D532" s="26"/>
      <c r="I532" s="27"/>
    </row>
    <row r="533" spans="3:9" ht="13.2" x14ac:dyDescent="0.25">
      <c r="C533" s="25"/>
      <c r="D533" s="26"/>
      <c r="I533" s="27"/>
    </row>
    <row r="534" spans="3:9" ht="13.2" x14ac:dyDescent="0.25">
      <c r="C534" s="25"/>
      <c r="D534" s="26"/>
      <c r="I534" s="27"/>
    </row>
    <row r="535" spans="3:9" ht="13.2" x14ac:dyDescent="0.25">
      <c r="C535" s="25"/>
      <c r="D535" s="26"/>
      <c r="I535" s="27"/>
    </row>
    <row r="536" spans="3:9" ht="13.2" x14ac:dyDescent="0.25">
      <c r="C536" s="25"/>
      <c r="D536" s="26"/>
      <c r="I536" s="27"/>
    </row>
    <row r="537" spans="3:9" ht="13.2" x14ac:dyDescent="0.25">
      <c r="C537" s="25"/>
      <c r="D537" s="26"/>
      <c r="I537" s="27"/>
    </row>
    <row r="538" spans="3:9" ht="13.2" x14ac:dyDescent="0.25">
      <c r="C538" s="25"/>
      <c r="D538" s="26"/>
      <c r="I538" s="27"/>
    </row>
    <row r="539" spans="3:9" ht="13.2" x14ac:dyDescent="0.25">
      <c r="C539" s="25"/>
      <c r="D539" s="26"/>
      <c r="I539" s="27"/>
    </row>
    <row r="540" spans="3:9" ht="13.2" x14ac:dyDescent="0.25">
      <c r="C540" s="25"/>
      <c r="D540" s="26"/>
      <c r="I540" s="27"/>
    </row>
    <row r="541" spans="3:9" ht="13.2" x14ac:dyDescent="0.25">
      <c r="C541" s="25"/>
      <c r="D541" s="26"/>
      <c r="I541" s="27"/>
    </row>
    <row r="542" spans="3:9" ht="13.2" x14ac:dyDescent="0.25">
      <c r="C542" s="25"/>
      <c r="D542" s="26"/>
      <c r="I542" s="27"/>
    </row>
    <row r="543" spans="3:9" ht="13.2" x14ac:dyDescent="0.25">
      <c r="C543" s="25"/>
      <c r="D543" s="26"/>
      <c r="I543" s="27"/>
    </row>
    <row r="544" spans="3:9" ht="13.2" x14ac:dyDescent="0.25">
      <c r="C544" s="25"/>
      <c r="D544" s="26"/>
      <c r="I544" s="27"/>
    </row>
    <row r="545" spans="3:9" ht="13.2" x14ac:dyDescent="0.25">
      <c r="C545" s="25"/>
      <c r="D545" s="26"/>
      <c r="I545" s="27"/>
    </row>
    <row r="546" spans="3:9" ht="13.2" x14ac:dyDescent="0.25">
      <c r="C546" s="25"/>
      <c r="D546" s="26"/>
      <c r="I546" s="27"/>
    </row>
    <row r="547" spans="3:9" ht="13.2" x14ac:dyDescent="0.25">
      <c r="C547" s="25"/>
      <c r="D547" s="26"/>
      <c r="I547" s="27"/>
    </row>
    <row r="548" spans="3:9" ht="13.2" x14ac:dyDescent="0.25">
      <c r="C548" s="25"/>
      <c r="D548" s="26"/>
      <c r="I548" s="27"/>
    </row>
    <row r="549" spans="3:9" ht="13.2" x14ac:dyDescent="0.25">
      <c r="C549" s="25"/>
      <c r="D549" s="26"/>
      <c r="I549" s="27"/>
    </row>
    <row r="550" spans="3:9" ht="13.2" x14ac:dyDescent="0.25">
      <c r="C550" s="25"/>
      <c r="D550" s="26"/>
      <c r="I550" s="27"/>
    </row>
    <row r="551" spans="3:9" ht="13.2" x14ac:dyDescent="0.25">
      <c r="C551" s="25"/>
      <c r="D551" s="26"/>
      <c r="I551" s="27"/>
    </row>
    <row r="552" spans="3:9" ht="13.2" x14ac:dyDescent="0.25">
      <c r="C552" s="25"/>
      <c r="D552" s="26"/>
      <c r="I552" s="27"/>
    </row>
    <row r="553" spans="3:9" ht="13.2" x14ac:dyDescent="0.25">
      <c r="C553" s="25"/>
      <c r="D553" s="26"/>
      <c r="I553" s="27"/>
    </row>
    <row r="554" spans="3:9" ht="13.2" x14ac:dyDescent="0.25">
      <c r="C554" s="25"/>
      <c r="D554" s="26"/>
      <c r="I554" s="27"/>
    </row>
    <row r="555" spans="3:9" ht="13.2" x14ac:dyDescent="0.25">
      <c r="C555" s="25"/>
      <c r="D555" s="26"/>
      <c r="I555" s="27"/>
    </row>
    <row r="556" spans="3:9" ht="13.2" x14ac:dyDescent="0.25">
      <c r="C556" s="25"/>
      <c r="D556" s="26"/>
      <c r="I556" s="27"/>
    </row>
    <row r="557" spans="3:9" ht="13.2" x14ac:dyDescent="0.25">
      <c r="C557" s="25"/>
      <c r="D557" s="26"/>
      <c r="I557" s="27"/>
    </row>
    <row r="558" spans="3:9" ht="13.2" x14ac:dyDescent="0.25">
      <c r="C558" s="25"/>
      <c r="D558" s="26"/>
      <c r="I558" s="27"/>
    </row>
    <row r="559" spans="3:9" ht="13.2" x14ac:dyDescent="0.25">
      <c r="C559" s="25"/>
      <c r="D559" s="26"/>
      <c r="I559" s="27"/>
    </row>
    <row r="560" spans="3:9" ht="13.2" x14ac:dyDescent="0.25">
      <c r="C560" s="25"/>
      <c r="D560" s="26"/>
      <c r="I560" s="27"/>
    </row>
    <row r="561" spans="3:9" ht="13.2" x14ac:dyDescent="0.25">
      <c r="C561" s="25"/>
      <c r="D561" s="26"/>
      <c r="I561" s="27"/>
    </row>
    <row r="562" spans="3:9" ht="13.2" x14ac:dyDescent="0.25">
      <c r="C562" s="25"/>
      <c r="D562" s="26"/>
      <c r="I562" s="27"/>
    </row>
    <row r="563" spans="3:9" ht="13.2" x14ac:dyDescent="0.25">
      <c r="C563" s="25"/>
      <c r="D563" s="26"/>
      <c r="I563" s="27"/>
    </row>
    <row r="564" spans="3:9" ht="13.2" x14ac:dyDescent="0.25">
      <c r="C564" s="25"/>
      <c r="D564" s="26"/>
      <c r="I564" s="27"/>
    </row>
    <row r="565" spans="3:9" ht="13.2" x14ac:dyDescent="0.25">
      <c r="C565" s="25"/>
      <c r="D565" s="26"/>
      <c r="I565" s="27"/>
    </row>
    <row r="566" spans="3:9" ht="13.2" x14ac:dyDescent="0.25">
      <c r="C566" s="25"/>
      <c r="D566" s="26"/>
      <c r="I566" s="27"/>
    </row>
    <row r="567" spans="3:9" ht="13.2" x14ac:dyDescent="0.25">
      <c r="C567" s="25"/>
      <c r="D567" s="26"/>
      <c r="I567" s="27"/>
    </row>
    <row r="568" spans="3:9" ht="13.2" x14ac:dyDescent="0.25">
      <c r="C568" s="25"/>
      <c r="D568" s="26"/>
      <c r="I568" s="27"/>
    </row>
    <row r="569" spans="3:9" ht="13.2" x14ac:dyDescent="0.25">
      <c r="C569" s="25"/>
      <c r="D569" s="26"/>
      <c r="I569" s="27"/>
    </row>
    <row r="570" spans="3:9" ht="13.2" x14ac:dyDescent="0.25">
      <c r="C570" s="25"/>
      <c r="D570" s="26"/>
      <c r="I570" s="27"/>
    </row>
    <row r="571" spans="3:9" ht="13.2" x14ac:dyDescent="0.25">
      <c r="C571" s="25"/>
      <c r="D571" s="26"/>
      <c r="I571" s="27"/>
    </row>
    <row r="572" spans="3:9" ht="13.2" x14ac:dyDescent="0.25">
      <c r="C572" s="25"/>
      <c r="D572" s="26"/>
      <c r="I572" s="27"/>
    </row>
    <row r="573" spans="3:9" ht="13.2" x14ac:dyDescent="0.25">
      <c r="C573" s="25"/>
      <c r="D573" s="26"/>
      <c r="I573" s="27"/>
    </row>
    <row r="574" spans="3:9" ht="13.2" x14ac:dyDescent="0.25">
      <c r="C574" s="25"/>
      <c r="D574" s="26"/>
      <c r="I574" s="27"/>
    </row>
    <row r="575" spans="3:9" ht="13.2" x14ac:dyDescent="0.25">
      <c r="C575" s="25"/>
      <c r="D575" s="26"/>
      <c r="I575" s="27"/>
    </row>
    <row r="576" spans="3:9" ht="13.2" x14ac:dyDescent="0.25">
      <c r="C576" s="25"/>
      <c r="D576" s="26"/>
      <c r="I576" s="27"/>
    </row>
    <row r="577" spans="3:9" ht="13.2" x14ac:dyDescent="0.25">
      <c r="C577" s="25"/>
      <c r="D577" s="26"/>
      <c r="I577" s="27"/>
    </row>
    <row r="578" spans="3:9" ht="13.2" x14ac:dyDescent="0.25">
      <c r="C578" s="25"/>
      <c r="D578" s="26"/>
      <c r="I578" s="27"/>
    </row>
    <row r="579" spans="3:9" ht="13.2" x14ac:dyDescent="0.25">
      <c r="C579" s="25"/>
      <c r="D579" s="26"/>
      <c r="I579" s="27"/>
    </row>
    <row r="580" spans="3:9" ht="13.2" x14ac:dyDescent="0.25">
      <c r="C580" s="25"/>
      <c r="D580" s="26"/>
      <c r="I580" s="27"/>
    </row>
    <row r="581" spans="3:9" ht="13.2" x14ac:dyDescent="0.25">
      <c r="C581" s="25"/>
      <c r="D581" s="26"/>
      <c r="I581" s="27"/>
    </row>
    <row r="582" spans="3:9" ht="13.2" x14ac:dyDescent="0.25">
      <c r="C582" s="25"/>
      <c r="D582" s="26"/>
      <c r="I582" s="27"/>
    </row>
    <row r="583" spans="3:9" ht="13.2" x14ac:dyDescent="0.25">
      <c r="C583" s="25"/>
      <c r="D583" s="26"/>
      <c r="I583" s="27"/>
    </row>
    <row r="584" spans="3:9" ht="13.2" x14ac:dyDescent="0.25">
      <c r="C584" s="25"/>
      <c r="D584" s="26"/>
      <c r="I584" s="27"/>
    </row>
    <row r="585" spans="3:9" ht="13.2" x14ac:dyDescent="0.25">
      <c r="C585" s="25"/>
      <c r="D585" s="26"/>
      <c r="I585" s="27"/>
    </row>
    <row r="586" spans="3:9" ht="13.2" x14ac:dyDescent="0.25">
      <c r="C586" s="25"/>
      <c r="D586" s="26"/>
      <c r="I586" s="27"/>
    </row>
    <row r="587" spans="3:9" ht="13.2" x14ac:dyDescent="0.25">
      <c r="C587" s="25"/>
      <c r="D587" s="26"/>
      <c r="I587" s="27"/>
    </row>
    <row r="588" spans="3:9" ht="13.2" x14ac:dyDescent="0.25">
      <c r="C588" s="25"/>
      <c r="D588" s="26"/>
      <c r="I588" s="27"/>
    </row>
    <row r="589" spans="3:9" ht="13.2" x14ac:dyDescent="0.25">
      <c r="C589" s="25"/>
      <c r="D589" s="26"/>
      <c r="I589" s="27"/>
    </row>
    <row r="590" spans="3:9" ht="13.2" x14ac:dyDescent="0.25">
      <c r="C590" s="25"/>
      <c r="D590" s="26"/>
      <c r="I590" s="27"/>
    </row>
    <row r="591" spans="3:9" ht="13.2" x14ac:dyDescent="0.25">
      <c r="C591" s="25"/>
      <c r="D591" s="26"/>
      <c r="I591" s="27"/>
    </row>
    <row r="592" spans="3:9" ht="13.2" x14ac:dyDescent="0.25">
      <c r="C592" s="25"/>
      <c r="D592" s="26"/>
      <c r="I592" s="27"/>
    </row>
    <row r="593" spans="3:9" ht="13.2" x14ac:dyDescent="0.25">
      <c r="C593" s="25"/>
      <c r="D593" s="26"/>
      <c r="I593" s="27"/>
    </row>
    <row r="594" spans="3:9" ht="13.2" x14ac:dyDescent="0.25">
      <c r="C594" s="25"/>
      <c r="D594" s="26"/>
      <c r="I594" s="27"/>
    </row>
    <row r="595" spans="3:9" ht="13.2" x14ac:dyDescent="0.25">
      <c r="C595" s="25"/>
      <c r="D595" s="26"/>
      <c r="I595" s="27"/>
    </row>
    <row r="596" spans="3:9" ht="13.2" x14ac:dyDescent="0.25">
      <c r="C596" s="25"/>
      <c r="D596" s="26"/>
      <c r="I596" s="27"/>
    </row>
    <row r="597" spans="3:9" ht="13.2" x14ac:dyDescent="0.25">
      <c r="C597" s="25"/>
      <c r="D597" s="26"/>
      <c r="I597" s="27"/>
    </row>
    <row r="598" spans="3:9" ht="13.2" x14ac:dyDescent="0.25">
      <c r="C598" s="25"/>
      <c r="D598" s="26"/>
      <c r="I598" s="27"/>
    </row>
    <row r="599" spans="3:9" ht="13.2" x14ac:dyDescent="0.25">
      <c r="C599" s="25"/>
      <c r="D599" s="26"/>
      <c r="I599" s="27"/>
    </row>
    <row r="600" spans="3:9" ht="13.2" x14ac:dyDescent="0.25">
      <c r="C600" s="25"/>
      <c r="D600" s="26"/>
      <c r="I600" s="27"/>
    </row>
    <row r="601" spans="3:9" ht="13.2" x14ac:dyDescent="0.25">
      <c r="C601" s="25"/>
      <c r="D601" s="26"/>
      <c r="I601" s="27"/>
    </row>
    <row r="602" spans="3:9" ht="13.2" x14ac:dyDescent="0.25">
      <c r="C602" s="25"/>
      <c r="D602" s="26"/>
      <c r="I602" s="27"/>
    </row>
    <row r="603" spans="3:9" ht="13.2" x14ac:dyDescent="0.25">
      <c r="C603" s="25"/>
      <c r="D603" s="26"/>
      <c r="I603" s="27"/>
    </row>
    <row r="604" spans="3:9" ht="13.2" x14ac:dyDescent="0.25">
      <c r="C604" s="25"/>
      <c r="D604" s="26"/>
      <c r="I604" s="27"/>
    </row>
    <row r="605" spans="3:9" ht="13.2" x14ac:dyDescent="0.25">
      <c r="C605" s="25"/>
      <c r="D605" s="26"/>
      <c r="I605" s="27"/>
    </row>
    <row r="606" spans="3:9" ht="13.2" x14ac:dyDescent="0.25">
      <c r="C606" s="25"/>
      <c r="D606" s="26"/>
      <c r="I606" s="27"/>
    </row>
    <row r="607" spans="3:9" ht="13.2" x14ac:dyDescent="0.25">
      <c r="C607" s="25"/>
      <c r="D607" s="26"/>
      <c r="I607" s="27"/>
    </row>
    <row r="608" spans="3:9" ht="13.2" x14ac:dyDescent="0.25">
      <c r="C608" s="25"/>
      <c r="D608" s="26"/>
      <c r="I608" s="27"/>
    </row>
    <row r="609" spans="3:9" ht="13.2" x14ac:dyDescent="0.25">
      <c r="C609" s="25"/>
      <c r="D609" s="26"/>
      <c r="I609" s="27"/>
    </row>
    <row r="610" spans="3:9" ht="13.2" x14ac:dyDescent="0.25">
      <c r="C610" s="25"/>
      <c r="D610" s="26"/>
      <c r="I610" s="27"/>
    </row>
    <row r="611" spans="3:9" ht="13.2" x14ac:dyDescent="0.25">
      <c r="C611" s="25"/>
      <c r="D611" s="26"/>
      <c r="I611" s="27"/>
    </row>
    <row r="612" spans="3:9" ht="13.2" x14ac:dyDescent="0.25">
      <c r="C612" s="25"/>
      <c r="D612" s="26"/>
      <c r="I612" s="27"/>
    </row>
    <row r="613" spans="3:9" ht="13.2" x14ac:dyDescent="0.25">
      <c r="C613" s="25"/>
      <c r="D613" s="26"/>
      <c r="I613" s="27"/>
    </row>
    <row r="614" spans="3:9" ht="13.2" x14ac:dyDescent="0.25">
      <c r="C614" s="25"/>
      <c r="D614" s="26"/>
      <c r="I614" s="27"/>
    </row>
    <row r="615" spans="3:9" ht="13.2" x14ac:dyDescent="0.25">
      <c r="C615" s="25"/>
      <c r="D615" s="26"/>
      <c r="I615" s="27"/>
    </row>
    <row r="616" spans="3:9" ht="13.2" x14ac:dyDescent="0.25">
      <c r="C616" s="25"/>
      <c r="D616" s="26"/>
      <c r="I616" s="27"/>
    </row>
    <row r="617" spans="3:9" ht="13.2" x14ac:dyDescent="0.25">
      <c r="C617" s="25"/>
      <c r="D617" s="26"/>
      <c r="I617" s="27"/>
    </row>
    <row r="618" spans="3:9" ht="13.2" x14ac:dyDescent="0.25">
      <c r="C618" s="25"/>
      <c r="D618" s="26"/>
      <c r="I618" s="27"/>
    </row>
    <row r="619" spans="3:9" ht="13.2" x14ac:dyDescent="0.25">
      <c r="C619" s="25"/>
      <c r="D619" s="26"/>
      <c r="I619" s="27"/>
    </row>
    <row r="620" spans="3:9" ht="13.2" x14ac:dyDescent="0.25">
      <c r="C620" s="25"/>
      <c r="D620" s="26"/>
      <c r="I620" s="27"/>
    </row>
    <row r="621" spans="3:9" ht="13.2" x14ac:dyDescent="0.25">
      <c r="C621" s="25"/>
      <c r="D621" s="26"/>
      <c r="I621" s="27"/>
    </row>
    <row r="622" spans="3:9" ht="13.2" x14ac:dyDescent="0.25">
      <c r="C622" s="25"/>
      <c r="D622" s="26"/>
      <c r="I622" s="27"/>
    </row>
    <row r="623" spans="3:9" ht="13.2" x14ac:dyDescent="0.25">
      <c r="C623" s="25"/>
      <c r="D623" s="26"/>
      <c r="I623" s="27"/>
    </row>
    <row r="624" spans="3:9" ht="13.2" x14ac:dyDescent="0.25">
      <c r="C624" s="25"/>
      <c r="D624" s="26"/>
      <c r="I624" s="27"/>
    </row>
    <row r="625" spans="3:9" ht="13.2" x14ac:dyDescent="0.25">
      <c r="C625" s="25"/>
      <c r="D625" s="26"/>
      <c r="I625" s="27"/>
    </row>
    <row r="626" spans="3:9" ht="13.2" x14ac:dyDescent="0.25">
      <c r="C626" s="25"/>
      <c r="D626" s="26"/>
      <c r="I626" s="27"/>
    </row>
    <row r="627" spans="3:9" ht="13.2" x14ac:dyDescent="0.25">
      <c r="C627" s="25"/>
      <c r="D627" s="26"/>
      <c r="I627" s="27"/>
    </row>
    <row r="628" spans="3:9" ht="13.2" x14ac:dyDescent="0.25">
      <c r="C628" s="25"/>
      <c r="D628" s="26"/>
      <c r="I628" s="27"/>
    </row>
    <row r="629" spans="3:9" ht="13.2" x14ac:dyDescent="0.25">
      <c r="C629" s="25"/>
      <c r="D629" s="26"/>
      <c r="I629" s="27"/>
    </row>
    <row r="630" spans="3:9" ht="13.2" x14ac:dyDescent="0.25">
      <c r="C630" s="25"/>
      <c r="D630" s="26"/>
      <c r="I630" s="27"/>
    </row>
    <row r="631" spans="3:9" ht="13.2" x14ac:dyDescent="0.25">
      <c r="C631" s="25"/>
      <c r="D631" s="26"/>
      <c r="I631" s="27"/>
    </row>
    <row r="632" spans="3:9" ht="13.2" x14ac:dyDescent="0.25">
      <c r="C632" s="25"/>
      <c r="D632" s="26"/>
      <c r="I632" s="27"/>
    </row>
    <row r="633" spans="3:9" ht="13.2" x14ac:dyDescent="0.25">
      <c r="C633" s="25"/>
      <c r="D633" s="26"/>
      <c r="I633" s="27"/>
    </row>
    <row r="634" spans="3:9" ht="13.2" x14ac:dyDescent="0.25">
      <c r="C634" s="25"/>
      <c r="D634" s="26"/>
      <c r="I634" s="27"/>
    </row>
    <row r="635" spans="3:9" ht="13.2" x14ac:dyDescent="0.25">
      <c r="C635" s="25"/>
      <c r="D635" s="26"/>
      <c r="I635" s="27"/>
    </row>
    <row r="636" spans="3:9" ht="13.2" x14ac:dyDescent="0.25">
      <c r="C636" s="25"/>
      <c r="D636" s="26"/>
      <c r="I636" s="27"/>
    </row>
    <row r="637" spans="3:9" ht="13.2" x14ac:dyDescent="0.25">
      <c r="C637" s="25"/>
      <c r="D637" s="26"/>
      <c r="I637" s="27"/>
    </row>
    <row r="638" spans="3:9" ht="13.2" x14ac:dyDescent="0.25">
      <c r="C638" s="25"/>
      <c r="D638" s="26"/>
      <c r="I638" s="27"/>
    </row>
    <row r="639" spans="3:9" ht="13.2" x14ac:dyDescent="0.25">
      <c r="C639" s="25"/>
      <c r="D639" s="26"/>
      <c r="I639" s="27"/>
    </row>
    <row r="640" spans="3:9" ht="13.2" x14ac:dyDescent="0.25">
      <c r="C640" s="25"/>
      <c r="D640" s="26"/>
      <c r="I640" s="27"/>
    </row>
    <row r="641" spans="3:9" ht="13.2" x14ac:dyDescent="0.25">
      <c r="C641" s="25"/>
      <c r="D641" s="26"/>
      <c r="I641" s="27"/>
    </row>
    <row r="642" spans="3:9" ht="13.2" x14ac:dyDescent="0.25">
      <c r="C642" s="25"/>
      <c r="D642" s="26"/>
      <c r="I642" s="27"/>
    </row>
    <row r="643" spans="3:9" ht="13.2" x14ac:dyDescent="0.25">
      <c r="C643" s="25"/>
      <c r="D643" s="26"/>
      <c r="I643" s="27"/>
    </row>
    <row r="644" spans="3:9" ht="13.2" x14ac:dyDescent="0.25">
      <c r="C644" s="25"/>
      <c r="D644" s="26"/>
      <c r="I644" s="27"/>
    </row>
    <row r="645" spans="3:9" ht="13.2" x14ac:dyDescent="0.25">
      <c r="C645" s="25"/>
      <c r="D645" s="26"/>
      <c r="I645" s="27"/>
    </row>
    <row r="646" spans="3:9" ht="13.2" x14ac:dyDescent="0.25">
      <c r="C646" s="25"/>
      <c r="D646" s="26"/>
      <c r="I646" s="27"/>
    </row>
    <row r="647" spans="3:9" ht="13.2" x14ac:dyDescent="0.25">
      <c r="C647" s="25"/>
      <c r="D647" s="26"/>
      <c r="I647" s="27"/>
    </row>
    <row r="648" spans="3:9" ht="13.2" x14ac:dyDescent="0.25">
      <c r="C648" s="25"/>
      <c r="D648" s="26"/>
      <c r="I648" s="27"/>
    </row>
    <row r="649" spans="3:9" ht="13.2" x14ac:dyDescent="0.25">
      <c r="C649" s="25"/>
      <c r="D649" s="26"/>
      <c r="I649" s="27"/>
    </row>
    <row r="650" spans="3:9" ht="13.2" x14ac:dyDescent="0.25">
      <c r="C650" s="25"/>
      <c r="D650" s="26"/>
      <c r="I650" s="27"/>
    </row>
    <row r="651" spans="3:9" ht="13.2" x14ac:dyDescent="0.25">
      <c r="C651" s="25"/>
      <c r="D651" s="26"/>
      <c r="I651" s="27"/>
    </row>
    <row r="652" spans="3:9" ht="13.2" x14ac:dyDescent="0.25">
      <c r="C652" s="25"/>
      <c r="D652" s="26"/>
      <c r="I652" s="27"/>
    </row>
    <row r="653" spans="3:9" ht="13.2" x14ac:dyDescent="0.25">
      <c r="C653" s="25"/>
      <c r="D653" s="26"/>
      <c r="I653" s="27"/>
    </row>
    <row r="654" spans="3:9" ht="13.2" x14ac:dyDescent="0.25">
      <c r="C654" s="25"/>
      <c r="D654" s="26"/>
      <c r="I654" s="27"/>
    </row>
    <row r="655" spans="3:9" ht="13.2" x14ac:dyDescent="0.25">
      <c r="C655" s="25"/>
      <c r="D655" s="26"/>
      <c r="I655" s="27"/>
    </row>
    <row r="656" spans="3:9" ht="13.2" x14ac:dyDescent="0.25">
      <c r="C656" s="25"/>
      <c r="D656" s="26"/>
      <c r="I656" s="27"/>
    </row>
    <row r="657" spans="3:9" ht="13.2" x14ac:dyDescent="0.25">
      <c r="C657" s="25"/>
      <c r="D657" s="26"/>
      <c r="I657" s="27"/>
    </row>
    <row r="658" spans="3:9" ht="13.2" x14ac:dyDescent="0.25">
      <c r="C658" s="25"/>
      <c r="D658" s="26"/>
      <c r="I658" s="27"/>
    </row>
    <row r="659" spans="3:9" ht="13.2" x14ac:dyDescent="0.25">
      <c r="C659" s="25"/>
      <c r="D659" s="26"/>
      <c r="I659" s="27"/>
    </row>
    <row r="660" spans="3:9" ht="13.2" x14ac:dyDescent="0.25">
      <c r="C660" s="25"/>
      <c r="D660" s="26"/>
      <c r="I660" s="27"/>
    </row>
    <row r="661" spans="3:9" ht="13.2" x14ac:dyDescent="0.25">
      <c r="C661" s="25"/>
      <c r="D661" s="26"/>
      <c r="I661" s="27"/>
    </row>
    <row r="662" spans="3:9" ht="13.2" x14ac:dyDescent="0.25">
      <c r="C662" s="25"/>
      <c r="D662" s="26"/>
      <c r="I662" s="27"/>
    </row>
    <row r="663" spans="3:9" ht="13.2" x14ac:dyDescent="0.25">
      <c r="C663" s="25"/>
      <c r="D663" s="26"/>
      <c r="I663" s="27"/>
    </row>
    <row r="664" spans="3:9" ht="13.2" x14ac:dyDescent="0.25">
      <c r="C664" s="25"/>
      <c r="D664" s="26"/>
      <c r="I664" s="27"/>
    </row>
    <row r="665" spans="3:9" ht="13.2" x14ac:dyDescent="0.25">
      <c r="C665" s="25"/>
      <c r="D665" s="26"/>
      <c r="I665" s="27"/>
    </row>
    <row r="666" spans="3:9" ht="13.2" x14ac:dyDescent="0.25">
      <c r="C666" s="25"/>
      <c r="D666" s="26"/>
      <c r="I666" s="27"/>
    </row>
    <row r="667" spans="3:9" ht="13.2" x14ac:dyDescent="0.25">
      <c r="C667" s="25"/>
      <c r="D667" s="26"/>
      <c r="I667" s="27"/>
    </row>
    <row r="668" spans="3:9" ht="13.2" x14ac:dyDescent="0.25">
      <c r="C668" s="25"/>
      <c r="D668" s="26"/>
      <c r="I668" s="27"/>
    </row>
    <row r="669" spans="3:9" ht="13.2" x14ac:dyDescent="0.25">
      <c r="C669" s="25"/>
      <c r="D669" s="26"/>
      <c r="I669" s="27"/>
    </row>
    <row r="670" spans="3:9" ht="13.2" x14ac:dyDescent="0.25">
      <c r="C670" s="25"/>
      <c r="D670" s="26"/>
      <c r="I670" s="27"/>
    </row>
    <row r="671" spans="3:9" ht="13.2" x14ac:dyDescent="0.25">
      <c r="C671" s="25"/>
      <c r="D671" s="26"/>
      <c r="I671" s="27"/>
    </row>
    <row r="672" spans="3:9" ht="13.2" x14ac:dyDescent="0.25">
      <c r="C672" s="25"/>
      <c r="D672" s="26"/>
      <c r="I672" s="27"/>
    </row>
    <row r="673" spans="3:9" ht="13.2" x14ac:dyDescent="0.25">
      <c r="C673" s="25"/>
      <c r="D673" s="26"/>
      <c r="I673" s="27"/>
    </row>
    <row r="674" spans="3:9" ht="13.2" x14ac:dyDescent="0.25">
      <c r="C674" s="25"/>
      <c r="D674" s="26"/>
      <c r="I674" s="27"/>
    </row>
    <row r="675" spans="3:9" ht="13.2" x14ac:dyDescent="0.25">
      <c r="C675" s="25"/>
      <c r="D675" s="26"/>
      <c r="I675" s="27"/>
    </row>
    <row r="676" spans="3:9" ht="13.2" x14ac:dyDescent="0.25">
      <c r="C676" s="25"/>
      <c r="D676" s="26"/>
      <c r="I676" s="27"/>
    </row>
    <row r="677" spans="3:9" ht="13.2" x14ac:dyDescent="0.25">
      <c r="C677" s="25"/>
      <c r="D677" s="26"/>
      <c r="I677" s="27"/>
    </row>
    <row r="678" spans="3:9" ht="13.2" x14ac:dyDescent="0.25">
      <c r="C678" s="25"/>
      <c r="D678" s="26"/>
      <c r="I678" s="27"/>
    </row>
    <row r="679" spans="3:9" ht="13.2" x14ac:dyDescent="0.25">
      <c r="C679" s="25"/>
      <c r="D679" s="26"/>
      <c r="I679" s="27"/>
    </row>
    <row r="680" spans="3:9" ht="13.2" x14ac:dyDescent="0.25">
      <c r="C680" s="25"/>
      <c r="D680" s="26"/>
      <c r="I680" s="27"/>
    </row>
    <row r="681" spans="3:9" ht="13.2" x14ac:dyDescent="0.25">
      <c r="C681" s="25"/>
      <c r="D681" s="26"/>
      <c r="I681" s="27"/>
    </row>
    <row r="682" spans="3:9" ht="13.2" x14ac:dyDescent="0.25">
      <c r="C682" s="25"/>
      <c r="D682" s="26"/>
      <c r="I682" s="27"/>
    </row>
    <row r="683" spans="3:9" ht="13.2" x14ac:dyDescent="0.25">
      <c r="C683" s="25"/>
      <c r="D683" s="26"/>
      <c r="I683" s="27"/>
    </row>
    <row r="684" spans="3:9" ht="13.2" x14ac:dyDescent="0.25">
      <c r="C684" s="25"/>
      <c r="D684" s="26"/>
      <c r="I684" s="27"/>
    </row>
    <row r="685" spans="3:9" ht="13.2" x14ac:dyDescent="0.25">
      <c r="C685" s="25"/>
      <c r="D685" s="26"/>
      <c r="I685" s="27"/>
    </row>
    <row r="686" spans="3:9" ht="13.2" x14ac:dyDescent="0.25">
      <c r="C686" s="25"/>
      <c r="D686" s="26"/>
      <c r="I686" s="27"/>
    </row>
    <row r="687" spans="3:9" ht="13.2" x14ac:dyDescent="0.25">
      <c r="C687" s="25"/>
      <c r="D687" s="26"/>
      <c r="I687" s="27"/>
    </row>
    <row r="688" spans="3:9" ht="13.2" x14ac:dyDescent="0.25">
      <c r="C688" s="25"/>
      <c r="D688" s="26"/>
      <c r="I688" s="27"/>
    </row>
    <row r="689" spans="3:9" ht="13.2" x14ac:dyDescent="0.25">
      <c r="C689" s="25"/>
      <c r="D689" s="26"/>
      <c r="I689" s="27"/>
    </row>
    <row r="690" spans="3:9" ht="13.2" x14ac:dyDescent="0.25">
      <c r="C690" s="25"/>
      <c r="D690" s="26"/>
      <c r="I690" s="27"/>
    </row>
    <row r="691" spans="3:9" ht="13.2" x14ac:dyDescent="0.25">
      <c r="C691" s="25"/>
      <c r="D691" s="26"/>
      <c r="I691" s="27"/>
    </row>
    <row r="692" spans="3:9" ht="13.2" x14ac:dyDescent="0.25">
      <c r="C692" s="25"/>
      <c r="D692" s="26"/>
      <c r="I692" s="27"/>
    </row>
    <row r="693" spans="3:9" ht="13.2" x14ac:dyDescent="0.25">
      <c r="C693" s="25"/>
      <c r="D693" s="26"/>
      <c r="I693" s="27"/>
    </row>
    <row r="694" spans="3:9" ht="13.2" x14ac:dyDescent="0.25">
      <c r="C694" s="25"/>
      <c r="D694" s="26"/>
      <c r="I694" s="27"/>
    </row>
    <row r="695" spans="3:9" ht="13.2" x14ac:dyDescent="0.25">
      <c r="C695" s="25"/>
      <c r="D695" s="26"/>
      <c r="I695" s="27"/>
    </row>
    <row r="696" spans="3:9" ht="13.2" x14ac:dyDescent="0.25">
      <c r="C696" s="25"/>
      <c r="D696" s="26"/>
      <c r="I696" s="27"/>
    </row>
    <row r="697" spans="3:9" ht="13.2" x14ac:dyDescent="0.25">
      <c r="C697" s="25"/>
      <c r="D697" s="26"/>
      <c r="I697" s="27"/>
    </row>
    <row r="698" spans="3:9" ht="13.2" x14ac:dyDescent="0.25">
      <c r="C698" s="25"/>
      <c r="D698" s="26"/>
      <c r="I698" s="27"/>
    </row>
    <row r="699" spans="3:9" ht="13.2" x14ac:dyDescent="0.25">
      <c r="C699" s="25"/>
      <c r="D699" s="26"/>
      <c r="I699" s="27"/>
    </row>
    <row r="700" spans="3:9" ht="13.2" x14ac:dyDescent="0.25">
      <c r="C700" s="25"/>
      <c r="D700" s="26"/>
      <c r="I700" s="27"/>
    </row>
    <row r="701" spans="3:9" ht="13.2" x14ac:dyDescent="0.25">
      <c r="C701" s="25"/>
      <c r="D701" s="26"/>
      <c r="I701" s="27"/>
    </row>
    <row r="702" spans="3:9" ht="13.2" x14ac:dyDescent="0.25">
      <c r="C702" s="25"/>
      <c r="D702" s="26"/>
      <c r="I702" s="27"/>
    </row>
    <row r="703" spans="3:9" ht="13.2" x14ac:dyDescent="0.25">
      <c r="C703" s="25"/>
      <c r="D703" s="26"/>
      <c r="I703" s="27"/>
    </row>
    <row r="704" spans="3:9" ht="13.2" x14ac:dyDescent="0.25">
      <c r="C704" s="25"/>
      <c r="D704" s="26"/>
      <c r="I704" s="27"/>
    </row>
    <row r="705" spans="3:9" ht="13.2" x14ac:dyDescent="0.25">
      <c r="C705" s="25"/>
      <c r="D705" s="26"/>
      <c r="I705" s="27"/>
    </row>
    <row r="706" spans="3:9" ht="13.2" x14ac:dyDescent="0.25">
      <c r="C706" s="25"/>
      <c r="D706" s="26"/>
      <c r="I706" s="27"/>
    </row>
    <row r="707" spans="3:9" ht="13.2" x14ac:dyDescent="0.25">
      <c r="C707" s="25"/>
      <c r="D707" s="26"/>
      <c r="I707" s="27"/>
    </row>
    <row r="708" spans="3:9" ht="13.2" x14ac:dyDescent="0.25">
      <c r="C708" s="25"/>
      <c r="D708" s="26"/>
      <c r="I708" s="27"/>
    </row>
    <row r="709" spans="3:9" ht="13.2" x14ac:dyDescent="0.25">
      <c r="C709" s="25"/>
      <c r="D709" s="26"/>
      <c r="I709" s="27"/>
    </row>
    <row r="710" spans="3:9" ht="13.2" x14ac:dyDescent="0.25">
      <c r="C710" s="25"/>
      <c r="D710" s="26"/>
      <c r="I710" s="27"/>
    </row>
    <row r="711" spans="3:9" ht="13.2" x14ac:dyDescent="0.25">
      <c r="C711" s="25"/>
      <c r="D711" s="26"/>
      <c r="I711" s="27"/>
    </row>
    <row r="712" spans="3:9" ht="13.2" x14ac:dyDescent="0.25">
      <c r="C712" s="25"/>
      <c r="D712" s="26"/>
      <c r="I712" s="27"/>
    </row>
    <row r="713" spans="3:9" ht="13.2" x14ac:dyDescent="0.25">
      <c r="C713" s="25"/>
      <c r="D713" s="26"/>
      <c r="I713" s="27"/>
    </row>
    <row r="714" spans="3:9" ht="13.2" x14ac:dyDescent="0.25">
      <c r="C714" s="25"/>
      <c r="D714" s="26"/>
      <c r="I714" s="27"/>
    </row>
    <row r="715" spans="3:9" ht="13.2" x14ac:dyDescent="0.25">
      <c r="C715" s="25"/>
      <c r="D715" s="26"/>
      <c r="I715" s="27"/>
    </row>
    <row r="716" spans="3:9" ht="13.2" x14ac:dyDescent="0.25">
      <c r="C716" s="25"/>
      <c r="D716" s="26"/>
      <c r="I716" s="27"/>
    </row>
    <row r="717" spans="3:9" ht="13.2" x14ac:dyDescent="0.25">
      <c r="C717" s="25"/>
      <c r="D717" s="26"/>
      <c r="I717" s="27"/>
    </row>
    <row r="718" spans="3:9" ht="13.2" x14ac:dyDescent="0.25">
      <c r="C718" s="25"/>
      <c r="D718" s="26"/>
      <c r="I718" s="27"/>
    </row>
    <row r="719" spans="3:9" ht="13.2" x14ac:dyDescent="0.25">
      <c r="C719" s="25"/>
      <c r="D719" s="26"/>
      <c r="I719" s="27"/>
    </row>
    <row r="720" spans="3:9" ht="13.2" x14ac:dyDescent="0.25">
      <c r="C720" s="25"/>
      <c r="D720" s="26"/>
      <c r="I720" s="27"/>
    </row>
    <row r="721" spans="3:9" ht="13.2" x14ac:dyDescent="0.25">
      <c r="C721" s="25"/>
      <c r="D721" s="26"/>
      <c r="I721" s="27"/>
    </row>
    <row r="722" spans="3:9" ht="13.2" x14ac:dyDescent="0.25">
      <c r="C722" s="25"/>
      <c r="D722" s="26"/>
      <c r="I722" s="27"/>
    </row>
    <row r="723" spans="3:9" ht="13.2" x14ac:dyDescent="0.25">
      <c r="C723" s="25"/>
      <c r="D723" s="26"/>
      <c r="I723" s="27"/>
    </row>
    <row r="724" spans="3:9" ht="13.2" x14ac:dyDescent="0.25">
      <c r="C724" s="25"/>
      <c r="D724" s="26"/>
      <c r="I724" s="27"/>
    </row>
    <row r="725" spans="3:9" ht="13.2" x14ac:dyDescent="0.25">
      <c r="C725" s="25"/>
      <c r="D725" s="26"/>
      <c r="I725" s="27"/>
    </row>
    <row r="726" spans="3:9" ht="13.2" x14ac:dyDescent="0.25">
      <c r="C726" s="25"/>
      <c r="D726" s="26"/>
      <c r="I726" s="27"/>
    </row>
    <row r="727" spans="3:9" ht="13.2" x14ac:dyDescent="0.25">
      <c r="C727" s="25"/>
      <c r="D727" s="26"/>
      <c r="I727" s="27"/>
    </row>
    <row r="728" spans="3:9" ht="13.2" x14ac:dyDescent="0.25">
      <c r="C728" s="25"/>
      <c r="D728" s="26"/>
      <c r="I728" s="27"/>
    </row>
    <row r="729" spans="3:9" ht="13.2" x14ac:dyDescent="0.25">
      <c r="C729" s="25"/>
      <c r="D729" s="26"/>
      <c r="I729" s="27"/>
    </row>
    <row r="730" spans="3:9" ht="13.2" x14ac:dyDescent="0.25">
      <c r="C730" s="25"/>
      <c r="D730" s="26"/>
      <c r="I730" s="27"/>
    </row>
    <row r="731" spans="3:9" ht="13.2" x14ac:dyDescent="0.25">
      <c r="C731" s="25"/>
      <c r="D731" s="26"/>
      <c r="I731" s="27"/>
    </row>
    <row r="732" spans="3:9" ht="13.2" x14ac:dyDescent="0.25">
      <c r="C732" s="25"/>
      <c r="D732" s="26"/>
      <c r="I732" s="27"/>
    </row>
    <row r="733" spans="3:9" ht="13.2" x14ac:dyDescent="0.25">
      <c r="C733" s="25"/>
      <c r="D733" s="26"/>
      <c r="I733" s="27"/>
    </row>
    <row r="734" spans="3:9" ht="13.2" x14ac:dyDescent="0.25">
      <c r="C734" s="25"/>
      <c r="D734" s="26"/>
      <c r="I734" s="27"/>
    </row>
    <row r="735" spans="3:9" ht="13.2" x14ac:dyDescent="0.25">
      <c r="C735" s="25"/>
      <c r="D735" s="26"/>
      <c r="I735" s="27"/>
    </row>
    <row r="736" spans="3:9" ht="13.2" x14ac:dyDescent="0.25">
      <c r="C736" s="25"/>
      <c r="D736" s="26"/>
      <c r="I736" s="27"/>
    </row>
    <row r="737" spans="3:9" ht="13.2" x14ac:dyDescent="0.25">
      <c r="C737" s="25"/>
      <c r="D737" s="26"/>
      <c r="I737" s="27"/>
    </row>
    <row r="738" spans="3:9" ht="13.2" x14ac:dyDescent="0.25">
      <c r="C738" s="25"/>
      <c r="D738" s="26"/>
      <c r="I738" s="27"/>
    </row>
    <row r="739" spans="3:9" ht="13.2" x14ac:dyDescent="0.25">
      <c r="C739" s="25"/>
      <c r="D739" s="26"/>
      <c r="I739" s="27"/>
    </row>
    <row r="740" spans="3:9" ht="13.2" x14ac:dyDescent="0.25">
      <c r="C740" s="25"/>
      <c r="D740" s="26"/>
      <c r="I740" s="27"/>
    </row>
    <row r="741" spans="3:9" ht="13.2" x14ac:dyDescent="0.25">
      <c r="C741" s="25"/>
      <c r="D741" s="26"/>
      <c r="I741" s="27"/>
    </row>
    <row r="742" spans="3:9" ht="13.2" x14ac:dyDescent="0.25">
      <c r="C742" s="25"/>
      <c r="D742" s="26"/>
      <c r="I742" s="27"/>
    </row>
    <row r="743" spans="3:9" ht="13.2" x14ac:dyDescent="0.25">
      <c r="C743" s="25"/>
      <c r="D743" s="26"/>
      <c r="I743" s="27"/>
    </row>
    <row r="744" spans="3:9" ht="13.2" x14ac:dyDescent="0.25">
      <c r="C744" s="25"/>
      <c r="D744" s="26"/>
      <c r="I744" s="27"/>
    </row>
    <row r="745" spans="3:9" ht="13.2" x14ac:dyDescent="0.25">
      <c r="C745" s="25"/>
      <c r="D745" s="26"/>
      <c r="I745" s="27"/>
    </row>
    <row r="746" spans="3:9" ht="13.2" x14ac:dyDescent="0.25">
      <c r="C746" s="25"/>
      <c r="D746" s="26"/>
      <c r="I746" s="27"/>
    </row>
    <row r="747" spans="3:9" ht="13.2" x14ac:dyDescent="0.25">
      <c r="C747" s="25"/>
      <c r="D747" s="26"/>
      <c r="I747" s="27"/>
    </row>
    <row r="748" spans="3:9" ht="13.2" x14ac:dyDescent="0.25">
      <c r="C748" s="25"/>
      <c r="D748" s="26"/>
      <c r="I748" s="27"/>
    </row>
    <row r="749" spans="3:9" ht="13.2" x14ac:dyDescent="0.25">
      <c r="C749" s="25"/>
      <c r="D749" s="26"/>
      <c r="I749" s="27"/>
    </row>
    <row r="750" spans="3:9" ht="13.2" x14ac:dyDescent="0.25">
      <c r="C750" s="25"/>
      <c r="D750" s="26"/>
      <c r="I750" s="27"/>
    </row>
    <row r="751" spans="3:9" ht="13.2" x14ac:dyDescent="0.25">
      <c r="C751" s="25"/>
      <c r="D751" s="26"/>
      <c r="I751" s="27"/>
    </row>
    <row r="752" spans="3:9" ht="13.2" x14ac:dyDescent="0.25">
      <c r="C752" s="25"/>
      <c r="D752" s="26"/>
      <c r="I752" s="27"/>
    </row>
    <row r="753" spans="3:9" ht="13.2" x14ac:dyDescent="0.25">
      <c r="C753" s="25"/>
      <c r="D753" s="26"/>
      <c r="I753" s="27"/>
    </row>
    <row r="754" spans="3:9" ht="13.2" x14ac:dyDescent="0.25">
      <c r="C754" s="25"/>
      <c r="D754" s="26"/>
      <c r="I754" s="27"/>
    </row>
    <row r="755" spans="3:9" ht="13.2" x14ac:dyDescent="0.25">
      <c r="C755" s="25"/>
      <c r="D755" s="26"/>
      <c r="I755" s="27"/>
    </row>
    <row r="756" spans="3:9" ht="13.2" x14ac:dyDescent="0.25">
      <c r="C756" s="25"/>
      <c r="D756" s="26"/>
      <c r="I756" s="27"/>
    </row>
    <row r="757" spans="3:9" ht="13.2" x14ac:dyDescent="0.25">
      <c r="C757" s="25"/>
      <c r="D757" s="26"/>
      <c r="I757" s="27"/>
    </row>
    <row r="758" spans="3:9" ht="13.2" x14ac:dyDescent="0.25">
      <c r="C758" s="25"/>
      <c r="D758" s="26"/>
      <c r="I758" s="27"/>
    </row>
    <row r="759" spans="3:9" ht="13.2" x14ac:dyDescent="0.25">
      <c r="C759" s="25"/>
      <c r="D759" s="26"/>
      <c r="I759" s="27"/>
    </row>
    <row r="760" spans="3:9" ht="13.2" x14ac:dyDescent="0.25">
      <c r="C760" s="25"/>
      <c r="D760" s="26"/>
      <c r="I760" s="27"/>
    </row>
    <row r="761" spans="3:9" ht="13.2" x14ac:dyDescent="0.25">
      <c r="C761" s="25"/>
      <c r="D761" s="26"/>
      <c r="I761" s="27"/>
    </row>
    <row r="762" spans="3:9" ht="13.2" x14ac:dyDescent="0.25">
      <c r="C762" s="25"/>
      <c r="D762" s="26"/>
      <c r="I762" s="27"/>
    </row>
    <row r="763" spans="3:9" ht="13.2" x14ac:dyDescent="0.25">
      <c r="C763" s="25"/>
      <c r="D763" s="26"/>
      <c r="I763" s="27"/>
    </row>
    <row r="764" spans="3:9" ht="13.2" x14ac:dyDescent="0.25">
      <c r="C764" s="25"/>
      <c r="D764" s="26"/>
      <c r="I764" s="27"/>
    </row>
    <row r="765" spans="3:9" ht="13.2" x14ac:dyDescent="0.25">
      <c r="C765" s="25"/>
      <c r="D765" s="26"/>
      <c r="I765" s="27"/>
    </row>
    <row r="766" spans="3:9" ht="13.2" x14ac:dyDescent="0.25">
      <c r="C766" s="25"/>
      <c r="D766" s="26"/>
      <c r="I766" s="27"/>
    </row>
    <row r="767" spans="3:9" ht="13.2" x14ac:dyDescent="0.25">
      <c r="C767" s="25"/>
      <c r="D767" s="26"/>
      <c r="I767" s="27"/>
    </row>
    <row r="768" spans="3:9" ht="13.2" x14ac:dyDescent="0.25">
      <c r="C768" s="25"/>
      <c r="D768" s="26"/>
      <c r="I768" s="27"/>
    </row>
    <row r="769" spans="3:9" ht="13.2" x14ac:dyDescent="0.25">
      <c r="C769" s="25"/>
      <c r="D769" s="26"/>
      <c r="I769" s="27"/>
    </row>
    <row r="770" spans="3:9" ht="13.2" x14ac:dyDescent="0.25">
      <c r="C770" s="25"/>
      <c r="D770" s="26"/>
      <c r="I770" s="27"/>
    </row>
    <row r="771" spans="3:9" ht="13.2" x14ac:dyDescent="0.25">
      <c r="C771" s="25"/>
      <c r="D771" s="26"/>
      <c r="I771" s="27"/>
    </row>
    <row r="772" spans="3:9" ht="13.2" x14ac:dyDescent="0.25">
      <c r="C772" s="25"/>
      <c r="D772" s="26"/>
      <c r="I772" s="27"/>
    </row>
    <row r="773" spans="3:9" ht="13.2" x14ac:dyDescent="0.25">
      <c r="C773" s="25"/>
      <c r="D773" s="26"/>
      <c r="I773" s="27"/>
    </row>
    <row r="774" spans="3:9" ht="13.2" x14ac:dyDescent="0.25">
      <c r="C774" s="25"/>
      <c r="D774" s="26"/>
      <c r="I774" s="27"/>
    </row>
    <row r="775" spans="3:9" ht="13.2" x14ac:dyDescent="0.25">
      <c r="C775" s="25"/>
      <c r="D775" s="26"/>
      <c r="I775" s="27"/>
    </row>
    <row r="776" spans="3:9" ht="13.2" x14ac:dyDescent="0.25">
      <c r="C776" s="25"/>
      <c r="D776" s="26"/>
      <c r="I776" s="27"/>
    </row>
    <row r="777" spans="3:9" ht="13.2" x14ac:dyDescent="0.25">
      <c r="C777" s="25"/>
      <c r="D777" s="26"/>
      <c r="I777" s="27"/>
    </row>
    <row r="778" spans="3:9" ht="13.2" x14ac:dyDescent="0.25">
      <c r="C778" s="25"/>
      <c r="D778" s="26"/>
      <c r="I778" s="27"/>
    </row>
    <row r="779" spans="3:9" ht="13.2" x14ac:dyDescent="0.25">
      <c r="C779" s="25"/>
      <c r="D779" s="26"/>
      <c r="I779" s="27"/>
    </row>
    <row r="780" spans="3:9" ht="13.2" x14ac:dyDescent="0.25">
      <c r="C780" s="25"/>
      <c r="D780" s="26"/>
      <c r="I780" s="27"/>
    </row>
    <row r="781" spans="3:9" ht="13.2" x14ac:dyDescent="0.25">
      <c r="C781" s="25"/>
      <c r="D781" s="26"/>
      <c r="I781" s="27"/>
    </row>
    <row r="782" spans="3:9" ht="13.2" x14ac:dyDescent="0.25">
      <c r="C782" s="25"/>
      <c r="D782" s="26"/>
      <c r="I782" s="27"/>
    </row>
    <row r="783" spans="3:9" ht="13.2" x14ac:dyDescent="0.25">
      <c r="C783" s="25"/>
      <c r="D783" s="26"/>
      <c r="I783" s="27"/>
    </row>
    <row r="784" spans="3:9" ht="13.2" x14ac:dyDescent="0.25">
      <c r="C784" s="25"/>
      <c r="D784" s="26"/>
      <c r="I784" s="27"/>
    </row>
    <row r="785" spans="3:9" ht="13.2" x14ac:dyDescent="0.25">
      <c r="C785" s="25"/>
      <c r="D785" s="26"/>
      <c r="I785" s="27"/>
    </row>
    <row r="786" spans="3:9" ht="13.2" x14ac:dyDescent="0.25">
      <c r="C786" s="25"/>
      <c r="D786" s="26"/>
      <c r="I786" s="27"/>
    </row>
    <row r="787" spans="3:9" ht="13.2" x14ac:dyDescent="0.25">
      <c r="C787" s="25"/>
      <c r="D787" s="26"/>
      <c r="I787" s="27"/>
    </row>
    <row r="788" spans="3:9" ht="13.2" x14ac:dyDescent="0.25">
      <c r="C788" s="25"/>
      <c r="D788" s="26"/>
      <c r="I788" s="27"/>
    </row>
    <row r="789" spans="3:9" ht="13.2" x14ac:dyDescent="0.25">
      <c r="C789" s="25"/>
      <c r="D789" s="26"/>
      <c r="I789" s="27"/>
    </row>
    <row r="790" spans="3:9" ht="13.2" x14ac:dyDescent="0.25">
      <c r="C790" s="25"/>
      <c r="D790" s="26"/>
      <c r="I790" s="27"/>
    </row>
    <row r="791" spans="3:9" ht="13.2" x14ac:dyDescent="0.25">
      <c r="C791" s="25"/>
      <c r="D791" s="26"/>
      <c r="I791" s="27"/>
    </row>
    <row r="792" spans="3:9" ht="13.2" x14ac:dyDescent="0.25">
      <c r="C792" s="25"/>
      <c r="D792" s="26"/>
      <c r="I792" s="27"/>
    </row>
    <row r="793" spans="3:9" ht="13.2" x14ac:dyDescent="0.25">
      <c r="C793" s="25"/>
      <c r="D793" s="26"/>
      <c r="I793" s="27"/>
    </row>
    <row r="794" spans="3:9" ht="13.2" x14ac:dyDescent="0.25">
      <c r="C794" s="25"/>
      <c r="D794" s="26"/>
      <c r="I794" s="27"/>
    </row>
    <row r="795" spans="3:9" ht="13.2" x14ac:dyDescent="0.25">
      <c r="C795" s="25"/>
      <c r="D795" s="26"/>
      <c r="I795" s="27"/>
    </row>
    <row r="796" spans="3:9" ht="13.2" x14ac:dyDescent="0.25">
      <c r="C796" s="25"/>
      <c r="D796" s="26"/>
      <c r="I796" s="27"/>
    </row>
    <row r="797" spans="3:9" ht="13.2" x14ac:dyDescent="0.25">
      <c r="C797" s="25"/>
      <c r="D797" s="26"/>
      <c r="I797" s="27"/>
    </row>
    <row r="798" spans="3:9" ht="13.2" x14ac:dyDescent="0.25">
      <c r="C798" s="25"/>
      <c r="D798" s="26"/>
      <c r="I798" s="27"/>
    </row>
    <row r="799" spans="3:9" ht="13.2" x14ac:dyDescent="0.25">
      <c r="C799" s="25"/>
      <c r="D799" s="26"/>
      <c r="I799" s="27"/>
    </row>
    <row r="800" spans="3:9" ht="13.2" x14ac:dyDescent="0.25">
      <c r="C800" s="25"/>
      <c r="D800" s="26"/>
      <c r="I800" s="27"/>
    </row>
    <row r="801" spans="3:9" ht="13.2" x14ac:dyDescent="0.25">
      <c r="C801" s="25"/>
      <c r="D801" s="26"/>
      <c r="I801" s="27"/>
    </row>
    <row r="802" spans="3:9" ht="13.2" x14ac:dyDescent="0.25">
      <c r="C802" s="25"/>
      <c r="D802" s="26"/>
      <c r="I802" s="27"/>
    </row>
    <row r="803" spans="3:9" ht="13.2" x14ac:dyDescent="0.25">
      <c r="C803" s="25"/>
      <c r="D803" s="26"/>
      <c r="I803" s="27"/>
    </row>
    <row r="804" spans="3:9" ht="13.2" x14ac:dyDescent="0.25">
      <c r="C804" s="25"/>
      <c r="D804" s="26"/>
      <c r="I804" s="27"/>
    </row>
    <row r="805" spans="3:9" ht="13.2" x14ac:dyDescent="0.25">
      <c r="C805" s="25"/>
      <c r="D805" s="26"/>
      <c r="I805" s="27"/>
    </row>
    <row r="806" spans="3:9" ht="13.2" x14ac:dyDescent="0.25">
      <c r="C806" s="25"/>
      <c r="D806" s="26"/>
      <c r="I806" s="27"/>
    </row>
    <row r="807" spans="3:9" ht="13.2" x14ac:dyDescent="0.25">
      <c r="C807" s="25"/>
      <c r="D807" s="26"/>
      <c r="I807" s="27"/>
    </row>
    <row r="808" spans="3:9" ht="13.2" x14ac:dyDescent="0.25">
      <c r="C808" s="25"/>
      <c r="D808" s="26"/>
      <c r="I808" s="27"/>
    </row>
    <row r="809" spans="3:9" ht="13.2" x14ac:dyDescent="0.25">
      <c r="C809" s="25"/>
      <c r="D809" s="26"/>
      <c r="I809" s="27"/>
    </row>
    <row r="810" spans="3:9" ht="13.2" x14ac:dyDescent="0.25">
      <c r="C810" s="25"/>
      <c r="D810" s="26"/>
      <c r="I810" s="27"/>
    </row>
    <row r="811" spans="3:9" ht="13.2" x14ac:dyDescent="0.25">
      <c r="C811" s="25"/>
      <c r="D811" s="26"/>
      <c r="I811" s="27"/>
    </row>
    <row r="812" spans="3:9" ht="13.2" x14ac:dyDescent="0.25">
      <c r="C812" s="25"/>
      <c r="D812" s="26"/>
      <c r="I812" s="27"/>
    </row>
    <row r="813" spans="3:9" ht="13.2" x14ac:dyDescent="0.25">
      <c r="C813" s="25"/>
      <c r="D813" s="26"/>
      <c r="I813" s="27"/>
    </row>
    <row r="814" spans="3:9" ht="13.2" x14ac:dyDescent="0.25">
      <c r="C814" s="25"/>
      <c r="D814" s="26"/>
      <c r="I814" s="27"/>
    </row>
    <row r="815" spans="3:9" ht="13.2" x14ac:dyDescent="0.25">
      <c r="C815" s="25"/>
      <c r="D815" s="26"/>
      <c r="I815" s="27"/>
    </row>
    <row r="816" spans="3:9" ht="13.2" x14ac:dyDescent="0.25">
      <c r="C816" s="25"/>
      <c r="D816" s="26"/>
      <c r="I816" s="27"/>
    </row>
    <row r="817" spans="3:9" ht="13.2" x14ac:dyDescent="0.25">
      <c r="C817" s="25"/>
      <c r="D817" s="26"/>
      <c r="I817" s="27"/>
    </row>
    <row r="818" spans="3:9" ht="13.2" x14ac:dyDescent="0.25">
      <c r="C818" s="25"/>
      <c r="D818" s="26"/>
      <c r="I818" s="27"/>
    </row>
    <row r="819" spans="3:9" ht="13.2" x14ac:dyDescent="0.25">
      <c r="C819" s="25"/>
      <c r="D819" s="26"/>
      <c r="I819" s="27"/>
    </row>
    <row r="820" spans="3:9" ht="13.2" x14ac:dyDescent="0.25">
      <c r="C820" s="25"/>
      <c r="D820" s="26"/>
      <c r="I820" s="27"/>
    </row>
    <row r="821" spans="3:9" ht="13.2" x14ac:dyDescent="0.25">
      <c r="C821" s="25"/>
      <c r="D821" s="26"/>
      <c r="I821" s="27"/>
    </row>
    <row r="822" spans="3:9" ht="13.2" x14ac:dyDescent="0.25">
      <c r="C822" s="25"/>
      <c r="D822" s="26"/>
      <c r="I822" s="27"/>
    </row>
    <row r="823" spans="3:9" ht="13.2" x14ac:dyDescent="0.25">
      <c r="C823" s="25"/>
      <c r="D823" s="26"/>
      <c r="I823" s="27"/>
    </row>
    <row r="824" spans="3:9" ht="13.2" x14ac:dyDescent="0.25">
      <c r="C824" s="25"/>
      <c r="D824" s="26"/>
      <c r="I824" s="27"/>
    </row>
    <row r="825" spans="3:9" ht="13.2" x14ac:dyDescent="0.25">
      <c r="C825" s="25"/>
      <c r="D825" s="26"/>
      <c r="I825" s="27"/>
    </row>
    <row r="826" spans="3:9" ht="13.2" x14ac:dyDescent="0.25">
      <c r="C826" s="25"/>
      <c r="D826" s="26"/>
      <c r="I826" s="27"/>
    </row>
    <row r="827" spans="3:9" ht="13.2" x14ac:dyDescent="0.25">
      <c r="C827" s="25"/>
      <c r="D827" s="26"/>
      <c r="I827" s="27"/>
    </row>
    <row r="828" spans="3:9" ht="13.2" x14ac:dyDescent="0.25">
      <c r="C828" s="25"/>
      <c r="D828" s="26"/>
      <c r="I828" s="27"/>
    </row>
    <row r="829" spans="3:9" ht="13.2" x14ac:dyDescent="0.25">
      <c r="C829" s="25"/>
      <c r="D829" s="26"/>
      <c r="I829" s="27"/>
    </row>
    <row r="830" spans="3:9" ht="13.2" x14ac:dyDescent="0.25">
      <c r="C830" s="25"/>
      <c r="D830" s="26"/>
      <c r="I830" s="27"/>
    </row>
    <row r="831" spans="3:9" ht="13.2" x14ac:dyDescent="0.25">
      <c r="C831" s="25"/>
      <c r="D831" s="26"/>
      <c r="I831" s="27"/>
    </row>
    <row r="832" spans="3:9" ht="13.2" x14ac:dyDescent="0.25">
      <c r="C832" s="25"/>
      <c r="D832" s="26"/>
      <c r="I832" s="27"/>
    </row>
    <row r="833" spans="3:9" ht="13.2" x14ac:dyDescent="0.25">
      <c r="C833" s="25"/>
      <c r="D833" s="26"/>
      <c r="I833" s="27"/>
    </row>
    <row r="834" spans="3:9" ht="13.2" x14ac:dyDescent="0.25">
      <c r="C834" s="25"/>
      <c r="D834" s="26"/>
      <c r="I834" s="27"/>
    </row>
    <row r="835" spans="3:9" ht="13.2" x14ac:dyDescent="0.25">
      <c r="C835" s="25"/>
      <c r="D835" s="26"/>
      <c r="I835" s="27"/>
    </row>
    <row r="836" spans="3:9" ht="13.2" x14ac:dyDescent="0.25">
      <c r="C836" s="25"/>
      <c r="D836" s="26"/>
      <c r="I836" s="27"/>
    </row>
    <row r="837" spans="3:9" ht="13.2" x14ac:dyDescent="0.25">
      <c r="C837" s="25"/>
      <c r="D837" s="26"/>
      <c r="I837" s="27"/>
    </row>
    <row r="838" spans="3:9" ht="13.2" x14ac:dyDescent="0.25">
      <c r="C838" s="25"/>
      <c r="D838" s="26"/>
      <c r="I838" s="27"/>
    </row>
    <row r="839" spans="3:9" ht="13.2" x14ac:dyDescent="0.25">
      <c r="C839" s="25"/>
      <c r="D839" s="26"/>
      <c r="I839" s="27"/>
    </row>
    <row r="840" spans="3:9" ht="13.2" x14ac:dyDescent="0.25">
      <c r="C840" s="25"/>
      <c r="D840" s="26"/>
      <c r="I840" s="27"/>
    </row>
    <row r="841" spans="3:9" ht="13.2" x14ac:dyDescent="0.25">
      <c r="C841" s="25"/>
      <c r="D841" s="26"/>
      <c r="I841" s="27"/>
    </row>
    <row r="842" spans="3:9" ht="13.2" x14ac:dyDescent="0.25">
      <c r="C842" s="25"/>
      <c r="D842" s="26"/>
      <c r="I842" s="27"/>
    </row>
    <row r="843" spans="3:9" ht="13.2" x14ac:dyDescent="0.25">
      <c r="C843" s="25"/>
      <c r="D843" s="26"/>
      <c r="I843" s="27"/>
    </row>
    <row r="844" spans="3:9" ht="13.2" x14ac:dyDescent="0.25">
      <c r="C844" s="25"/>
      <c r="D844" s="26"/>
      <c r="I844" s="27"/>
    </row>
    <row r="845" spans="3:9" ht="13.2" x14ac:dyDescent="0.25">
      <c r="C845" s="25"/>
      <c r="D845" s="26"/>
      <c r="I845" s="27"/>
    </row>
    <row r="846" spans="3:9" ht="13.2" x14ac:dyDescent="0.25">
      <c r="C846" s="25"/>
      <c r="D846" s="26"/>
      <c r="I846" s="27"/>
    </row>
    <row r="847" spans="3:9" ht="13.2" x14ac:dyDescent="0.25">
      <c r="C847" s="25"/>
      <c r="D847" s="26"/>
      <c r="I847" s="27"/>
    </row>
    <row r="848" spans="3:9" ht="13.2" x14ac:dyDescent="0.25">
      <c r="C848" s="25"/>
      <c r="D848" s="26"/>
      <c r="I848" s="27"/>
    </row>
    <row r="849" spans="3:9" ht="13.2" x14ac:dyDescent="0.25">
      <c r="C849" s="25"/>
      <c r="D849" s="26"/>
      <c r="I849" s="27"/>
    </row>
    <row r="850" spans="3:9" ht="13.2" x14ac:dyDescent="0.25">
      <c r="C850" s="25"/>
      <c r="D850" s="26"/>
      <c r="I850" s="27"/>
    </row>
    <row r="851" spans="3:9" ht="13.2" x14ac:dyDescent="0.25">
      <c r="C851" s="25"/>
      <c r="D851" s="26"/>
      <c r="I851" s="27"/>
    </row>
    <row r="852" spans="3:9" ht="13.2" x14ac:dyDescent="0.25">
      <c r="C852" s="25"/>
      <c r="D852" s="26"/>
      <c r="I852" s="27"/>
    </row>
    <row r="853" spans="3:9" ht="13.2" x14ac:dyDescent="0.25">
      <c r="C853" s="25"/>
      <c r="D853" s="26"/>
      <c r="I853" s="27"/>
    </row>
    <row r="854" spans="3:9" ht="13.2" x14ac:dyDescent="0.25">
      <c r="C854" s="25"/>
      <c r="D854" s="26"/>
      <c r="I854" s="27"/>
    </row>
    <row r="855" spans="3:9" ht="13.2" x14ac:dyDescent="0.25">
      <c r="C855" s="25"/>
      <c r="D855" s="26"/>
      <c r="I855" s="27"/>
    </row>
    <row r="856" spans="3:9" ht="13.2" x14ac:dyDescent="0.25">
      <c r="C856" s="25"/>
      <c r="D856" s="26"/>
      <c r="I856" s="27"/>
    </row>
    <row r="857" spans="3:9" ht="13.2" x14ac:dyDescent="0.25">
      <c r="C857" s="25"/>
      <c r="D857" s="26"/>
      <c r="I857" s="27"/>
    </row>
    <row r="858" spans="3:9" ht="13.2" x14ac:dyDescent="0.25">
      <c r="C858" s="25"/>
      <c r="D858" s="26"/>
      <c r="I858" s="27"/>
    </row>
    <row r="859" spans="3:9" ht="13.2" x14ac:dyDescent="0.25">
      <c r="C859" s="25"/>
      <c r="D859" s="26"/>
      <c r="I859" s="27"/>
    </row>
    <row r="860" spans="3:9" ht="13.2" x14ac:dyDescent="0.25">
      <c r="C860" s="25"/>
      <c r="D860" s="26"/>
      <c r="I860" s="27"/>
    </row>
    <row r="861" spans="3:9" ht="13.2" x14ac:dyDescent="0.25">
      <c r="C861" s="25"/>
      <c r="D861" s="26"/>
      <c r="I861" s="27"/>
    </row>
    <row r="862" spans="3:9" ht="13.2" x14ac:dyDescent="0.25">
      <c r="C862" s="25"/>
      <c r="D862" s="26"/>
      <c r="I862" s="27"/>
    </row>
    <row r="863" spans="3:9" ht="13.2" x14ac:dyDescent="0.25">
      <c r="C863" s="25"/>
      <c r="D863" s="26"/>
      <c r="I863" s="27"/>
    </row>
    <row r="864" spans="3:9" ht="13.2" x14ac:dyDescent="0.25">
      <c r="C864" s="25"/>
      <c r="D864" s="26"/>
      <c r="I864" s="27"/>
    </row>
    <row r="865" spans="3:9" ht="13.2" x14ac:dyDescent="0.25">
      <c r="C865" s="25"/>
      <c r="D865" s="26"/>
      <c r="I865" s="27"/>
    </row>
    <row r="866" spans="3:9" ht="13.2" x14ac:dyDescent="0.25">
      <c r="C866" s="25"/>
      <c r="D866" s="26"/>
      <c r="I866" s="27"/>
    </row>
    <row r="867" spans="3:9" ht="13.2" x14ac:dyDescent="0.25">
      <c r="C867" s="25"/>
      <c r="D867" s="26"/>
      <c r="I867" s="27"/>
    </row>
    <row r="868" spans="3:9" ht="13.2" x14ac:dyDescent="0.25">
      <c r="C868" s="25"/>
      <c r="D868" s="26"/>
      <c r="I868" s="27"/>
    </row>
    <row r="869" spans="3:9" ht="13.2" x14ac:dyDescent="0.25">
      <c r="C869" s="25"/>
      <c r="D869" s="26"/>
      <c r="I869" s="27"/>
    </row>
    <row r="870" spans="3:9" ht="13.2" x14ac:dyDescent="0.25">
      <c r="C870" s="25"/>
      <c r="D870" s="26"/>
      <c r="I870" s="27"/>
    </row>
    <row r="871" spans="3:9" ht="13.2" x14ac:dyDescent="0.25">
      <c r="C871" s="25"/>
      <c r="D871" s="26"/>
      <c r="I871" s="27"/>
    </row>
    <row r="872" spans="3:9" ht="13.2" x14ac:dyDescent="0.25">
      <c r="C872" s="25"/>
      <c r="D872" s="26"/>
      <c r="I872" s="27"/>
    </row>
    <row r="873" spans="3:9" ht="13.2" x14ac:dyDescent="0.25">
      <c r="C873" s="25"/>
      <c r="D873" s="26"/>
      <c r="I873" s="27"/>
    </row>
    <row r="874" spans="3:9" ht="13.2" x14ac:dyDescent="0.25">
      <c r="C874" s="25"/>
      <c r="D874" s="26"/>
      <c r="I874" s="27"/>
    </row>
    <row r="875" spans="3:9" ht="13.2" x14ac:dyDescent="0.25">
      <c r="C875" s="25"/>
      <c r="D875" s="26"/>
      <c r="I875" s="27"/>
    </row>
    <row r="876" spans="3:9" ht="13.2" x14ac:dyDescent="0.25">
      <c r="C876" s="25"/>
      <c r="D876" s="26"/>
      <c r="I876" s="27"/>
    </row>
    <row r="877" spans="3:9" ht="13.2" x14ac:dyDescent="0.25">
      <c r="C877" s="25"/>
      <c r="D877" s="26"/>
      <c r="I877" s="27"/>
    </row>
    <row r="878" spans="3:9" ht="13.2" x14ac:dyDescent="0.25">
      <c r="C878" s="25"/>
      <c r="D878" s="26"/>
      <c r="I878" s="27"/>
    </row>
    <row r="879" spans="3:9" ht="13.2" x14ac:dyDescent="0.25">
      <c r="C879" s="25"/>
      <c r="D879" s="26"/>
      <c r="I879" s="27"/>
    </row>
    <row r="880" spans="3:9" ht="13.2" x14ac:dyDescent="0.25">
      <c r="C880" s="25"/>
      <c r="D880" s="26"/>
      <c r="I880" s="27"/>
    </row>
    <row r="881" spans="3:9" ht="13.2" x14ac:dyDescent="0.25">
      <c r="C881" s="25"/>
      <c r="D881" s="26"/>
      <c r="I881" s="27"/>
    </row>
    <row r="882" spans="3:9" ht="13.2" x14ac:dyDescent="0.25">
      <c r="C882" s="25"/>
      <c r="D882" s="26"/>
      <c r="I882" s="27"/>
    </row>
    <row r="883" spans="3:9" ht="13.2" x14ac:dyDescent="0.25">
      <c r="C883" s="25"/>
      <c r="D883" s="26"/>
      <c r="I883" s="27"/>
    </row>
    <row r="884" spans="3:9" ht="13.2" x14ac:dyDescent="0.25">
      <c r="C884" s="25"/>
      <c r="D884" s="26"/>
      <c r="I884" s="27"/>
    </row>
    <row r="885" spans="3:9" ht="13.2" x14ac:dyDescent="0.25">
      <c r="C885" s="25"/>
      <c r="D885" s="26"/>
      <c r="I885" s="27"/>
    </row>
    <row r="886" spans="3:9" ht="13.2" x14ac:dyDescent="0.25">
      <c r="C886" s="25"/>
      <c r="D886" s="26"/>
      <c r="I886" s="27"/>
    </row>
    <row r="887" spans="3:9" ht="13.2" x14ac:dyDescent="0.25">
      <c r="C887" s="25"/>
      <c r="D887" s="26"/>
      <c r="I887" s="27"/>
    </row>
    <row r="888" spans="3:9" ht="13.2" x14ac:dyDescent="0.25">
      <c r="C888" s="25"/>
      <c r="D888" s="26"/>
      <c r="I888" s="27"/>
    </row>
    <row r="889" spans="3:9" ht="13.2" x14ac:dyDescent="0.25">
      <c r="C889" s="25"/>
      <c r="D889" s="26"/>
      <c r="I889" s="27"/>
    </row>
    <row r="890" spans="3:9" ht="13.2" x14ac:dyDescent="0.25">
      <c r="C890" s="25"/>
      <c r="D890" s="26"/>
      <c r="I890" s="27"/>
    </row>
    <row r="891" spans="3:9" ht="13.2" x14ac:dyDescent="0.25">
      <c r="C891" s="25"/>
      <c r="D891" s="26"/>
      <c r="I891" s="27"/>
    </row>
    <row r="892" spans="3:9" ht="13.2" x14ac:dyDescent="0.25">
      <c r="C892" s="25"/>
      <c r="D892" s="26"/>
      <c r="I892" s="27"/>
    </row>
    <row r="893" spans="3:9" ht="13.2" x14ac:dyDescent="0.25">
      <c r="C893" s="25"/>
      <c r="D893" s="26"/>
      <c r="I893" s="27"/>
    </row>
    <row r="894" spans="3:9" ht="13.2" x14ac:dyDescent="0.25">
      <c r="C894" s="25"/>
      <c r="D894" s="26"/>
      <c r="I894" s="27"/>
    </row>
    <row r="895" spans="3:9" ht="13.2" x14ac:dyDescent="0.25">
      <c r="C895" s="25"/>
      <c r="D895" s="26"/>
      <c r="I895" s="27"/>
    </row>
    <row r="896" spans="3:9" ht="13.2" x14ac:dyDescent="0.25">
      <c r="C896" s="25"/>
      <c r="D896" s="26"/>
      <c r="I896" s="27"/>
    </row>
    <row r="897" spans="3:9" ht="13.2" x14ac:dyDescent="0.25">
      <c r="C897" s="25"/>
      <c r="D897" s="26"/>
      <c r="I897" s="27"/>
    </row>
    <row r="898" spans="3:9" ht="13.2" x14ac:dyDescent="0.25">
      <c r="C898" s="25"/>
      <c r="D898" s="26"/>
      <c r="I898" s="27"/>
    </row>
    <row r="899" spans="3:9" ht="13.2" x14ac:dyDescent="0.25">
      <c r="C899" s="25"/>
      <c r="D899" s="26"/>
      <c r="I899" s="27"/>
    </row>
    <row r="900" spans="3:9" ht="13.2" x14ac:dyDescent="0.25">
      <c r="C900" s="25"/>
      <c r="D900" s="26"/>
      <c r="I900" s="27"/>
    </row>
    <row r="901" spans="3:9" ht="13.2" x14ac:dyDescent="0.25">
      <c r="C901" s="25"/>
      <c r="D901" s="26"/>
      <c r="I901" s="27"/>
    </row>
    <row r="902" spans="3:9" ht="13.2" x14ac:dyDescent="0.25">
      <c r="C902" s="25"/>
      <c r="D902" s="26"/>
      <c r="I902" s="27"/>
    </row>
    <row r="903" spans="3:9" ht="13.2" x14ac:dyDescent="0.25">
      <c r="C903" s="25"/>
      <c r="D903" s="26"/>
      <c r="I903" s="27"/>
    </row>
    <row r="904" spans="3:9" ht="13.2" x14ac:dyDescent="0.25">
      <c r="C904" s="25"/>
      <c r="D904" s="26"/>
      <c r="I904" s="27"/>
    </row>
    <row r="905" spans="3:9" ht="13.2" x14ac:dyDescent="0.25">
      <c r="C905" s="25"/>
      <c r="D905" s="26"/>
      <c r="I905" s="27"/>
    </row>
    <row r="906" spans="3:9" ht="13.2" x14ac:dyDescent="0.25">
      <c r="C906" s="25"/>
      <c r="D906" s="26"/>
      <c r="I906" s="27"/>
    </row>
    <row r="907" spans="3:9" ht="13.2" x14ac:dyDescent="0.25">
      <c r="C907" s="25"/>
      <c r="D907" s="26"/>
      <c r="I907" s="27"/>
    </row>
    <row r="908" spans="3:9" ht="13.2" x14ac:dyDescent="0.25">
      <c r="C908" s="25"/>
      <c r="D908" s="26"/>
      <c r="I908" s="27"/>
    </row>
    <row r="909" spans="3:9" ht="13.2" x14ac:dyDescent="0.25">
      <c r="C909" s="25"/>
      <c r="D909" s="26"/>
      <c r="I909" s="27"/>
    </row>
    <row r="910" spans="3:9" ht="13.2" x14ac:dyDescent="0.25">
      <c r="C910" s="25"/>
      <c r="D910" s="26"/>
      <c r="I910" s="27"/>
    </row>
    <row r="911" spans="3:9" ht="13.2" x14ac:dyDescent="0.25">
      <c r="C911" s="25"/>
      <c r="D911" s="26"/>
      <c r="I911" s="27"/>
    </row>
    <row r="912" spans="3:9" ht="13.2" x14ac:dyDescent="0.25">
      <c r="C912" s="25"/>
      <c r="D912" s="26"/>
      <c r="I912" s="27"/>
    </row>
    <row r="913" spans="3:9" ht="13.2" x14ac:dyDescent="0.25">
      <c r="C913" s="25"/>
      <c r="D913" s="26"/>
      <c r="I913" s="27"/>
    </row>
    <row r="914" spans="3:9" ht="13.2" x14ac:dyDescent="0.25">
      <c r="C914" s="25"/>
      <c r="D914" s="26"/>
      <c r="I914" s="27"/>
    </row>
    <row r="915" spans="3:9" ht="13.2" x14ac:dyDescent="0.25">
      <c r="C915" s="25"/>
      <c r="D915" s="26"/>
      <c r="I915" s="27"/>
    </row>
    <row r="916" spans="3:9" ht="13.2" x14ac:dyDescent="0.25">
      <c r="C916" s="25"/>
      <c r="D916" s="26"/>
      <c r="I916" s="27"/>
    </row>
    <row r="917" spans="3:9" ht="13.2" x14ac:dyDescent="0.25">
      <c r="C917" s="25"/>
      <c r="D917" s="26"/>
      <c r="I917" s="27"/>
    </row>
    <row r="918" spans="3:9" ht="13.2" x14ac:dyDescent="0.25">
      <c r="C918" s="25"/>
      <c r="D918" s="26"/>
      <c r="I918" s="27"/>
    </row>
    <row r="919" spans="3:9" ht="13.2" x14ac:dyDescent="0.25">
      <c r="C919" s="25"/>
      <c r="D919" s="26"/>
      <c r="I919" s="27"/>
    </row>
    <row r="920" spans="3:9" ht="13.2" x14ac:dyDescent="0.25">
      <c r="C920" s="25"/>
      <c r="D920" s="26"/>
      <c r="I920" s="27"/>
    </row>
    <row r="921" spans="3:9" ht="13.2" x14ac:dyDescent="0.25">
      <c r="C921" s="25"/>
      <c r="D921" s="26"/>
      <c r="I921" s="27"/>
    </row>
    <row r="922" spans="3:9" ht="13.2" x14ac:dyDescent="0.25">
      <c r="C922" s="25"/>
      <c r="D922" s="26"/>
      <c r="I922" s="27"/>
    </row>
    <row r="923" spans="3:9" ht="13.2" x14ac:dyDescent="0.25">
      <c r="C923" s="25"/>
      <c r="D923" s="26"/>
      <c r="I923" s="27"/>
    </row>
    <row r="924" spans="3:9" ht="13.2" x14ac:dyDescent="0.25">
      <c r="C924" s="25"/>
      <c r="D924" s="26"/>
      <c r="I924" s="27"/>
    </row>
    <row r="925" spans="3:9" ht="13.2" x14ac:dyDescent="0.25">
      <c r="C925" s="25"/>
      <c r="D925" s="26"/>
      <c r="I925" s="27"/>
    </row>
    <row r="926" spans="3:9" ht="13.2" x14ac:dyDescent="0.25">
      <c r="C926" s="25"/>
      <c r="D926" s="26"/>
      <c r="I926" s="27"/>
    </row>
    <row r="927" spans="3:9" ht="13.2" x14ac:dyDescent="0.25">
      <c r="C927" s="25"/>
      <c r="D927" s="26"/>
      <c r="I927" s="27"/>
    </row>
    <row r="928" spans="3:9" ht="13.2" x14ac:dyDescent="0.25">
      <c r="C928" s="25"/>
      <c r="D928" s="26"/>
      <c r="I928" s="27"/>
    </row>
    <row r="929" spans="3:9" ht="13.2" x14ac:dyDescent="0.25">
      <c r="C929" s="25"/>
      <c r="D929" s="26"/>
      <c r="I929" s="27"/>
    </row>
    <row r="930" spans="3:9" ht="13.2" x14ac:dyDescent="0.25">
      <c r="C930" s="25"/>
      <c r="D930" s="26"/>
      <c r="I930" s="27"/>
    </row>
    <row r="931" spans="3:9" ht="13.2" x14ac:dyDescent="0.25">
      <c r="C931" s="25"/>
      <c r="D931" s="26"/>
      <c r="I931" s="27"/>
    </row>
    <row r="932" spans="3:9" ht="13.2" x14ac:dyDescent="0.25">
      <c r="C932" s="25"/>
      <c r="D932" s="26"/>
      <c r="I932" s="27"/>
    </row>
    <row r="933" spans="3:9" ht="13.2" x14ac:dyDescent="0.25">
      <c r="C933" s="25"/>
      <c r="D933" s="26"/>
      <c r="I933" s="27"/>
    </row>
    <row r="934" spans="3:9" ht="13.2" x14ac:dyDescent="0.25">
      <c r="C934" s="25"/>
      <c r="D934" s="26"/>
      <c r="I934" s="27"/>
    </row>
    <row r="935" spans="3:9" ht="13.2" x14ac:dyDescent="0.25">
      <c r="C935" s="25"/>
      <c r="D935" s="26"/>
      <c r="I935" s="27"/>
    </row>
    <row r="936" spans="3:9" ht="13.2" x14ac:dyDescent="0.25">
      <c r="C936" s="25"/>
      <c r="D936" s="26"/>
      <c r="I936" s="27"/>
    </row>
    <row r="937" spans="3:9" ht="13.2" x14ac:dyDescent="0.25">
      <c r="C937" s="25"/>
      <c r="D937" s="26"/>
      <c r="I937" s="27"/>
    </row>
    <row r="938" spans="3:9" ht="13.2" x14ac:dyDescent="0.25">
      <c r="C938" s="25"/>
      <c r="D938" s="26"/>
      <c r="I938" s="27"/>
    </row>
    <row r="939" spans="3:9" ht="13.2" x14ac:dyDescent="0.25">
      <c r="C939" s="25"/>
      <c r="D939" s="26"/>
      <c r="I939" s="27"/>
    </row>
    <row r="940" spans="3:9" ht="13.2" x14ac:dyDescent="0.25">
      <c r="C940" s="25"/>
      <c r="D940" s="26"/>
      <c r="I940" s="27"/>
    </row>
    <row r="941" spans="3:9" ht="13.2" x14ac:dyDescent="0.25">
      <c r="C941" s="25"/>
      <c r="D941" s="26"/>
      <c r="I941" s="27"/>
    </row>
    <row r="942" spans="3:9" ht="13.2" x14ac:dyDescent="0.25">
      <c r="C942" s="25"/>
      <c r="D942" s="26"/>
      <c r="I942" s="27"/>
    </row>
    <row r="943" spans="3:9" ht="13.2" x14ac:dyDescent="0.25">
      <c r="C943" s="25"/>
      <c r="D943" s="26"/>
      <c r="I943" s="27"/>
    </row>
    <row r="944" spans="3:9" ht="13.2" x14ac:dyDescent="0.25">
      <c r="C944" s="25"/>
      <c r="D944" s="26"/>
      <c r="I944" s="27"/>
    </row>
    <row r="945" spans="3:9" ht="13.2" x14ac:dyDescent="0.25">
      <c r="C945" s="25"/>
      <c r="D945" s="26"/>
      <c r="I945" s="27"/>
    </row>
    <row r="946" spans="3:9" ht="13.2" x14ac:dyDescent="0.25">
      <c r="C946" s="25"/>
      <c r="D946" s="26"/>
      <c r="I946" s="27"/>
    </row>
    <row r="947" spans="3:9" ht="13.2" x14ac:dyDescent="0.25">
      <c r="C947" s="25"/>
      <c r="D947" s="26"/>
      <c r="I947" s="27"/>
    </row>
    <row r="948" spans="3:9" ht="13.2" x14ac:dyDescent="0.25">
      <c r="C948" s="25"/>
      <c r="D948" s="26"/>
      <c r="I948" s="27"/>
    </row>
    <row r="949" spans="3:9" ht="13.2" x14ac:dyDescent="0.25">
      <c r="C949" s="25"/>
      <c r="D949" s="26"/>
      <c r="I949" s="27"/>
    </row>
    <row r="950" spans="3:9" ht="13.2" x14ac:dyDescent="0.25">
      <c r="C950" s="25"/>
      <c r="D950" s="26"/>
      <c r="I950" s="27"/>
    </row>
    <row r="951" spans="3:9" ht="13.2" x14ac:dyDescent="0.25">
      <c r="C951" s="25"/>
      <c r="D951" s="26"/>
      <c r="I951" s="27"/>
    </row>
    <row r="952" spans="3:9" ht="13.2" x14ac:dyDescent="0.25">
      <c r="C952" s="25"/>
      <c r="D952" s="26"/>
      <c r="I952" s="27"/>
    </row>
    <row r="953" spans="3:9" ht="13.2" x14ac:dyDescent="0.25">
      <c r="C953" s="25"/>
      <c r="D953" s="26"/>
      <c r="I953" s="27"/>
    </row>
    <row r="954" spans="3:9" ht="13.2" x14ac:dyDescent="0.25">
      <c r="C954" s="25"/>
      <c r="D954" s="26"/>
      <c r="I954" s="27"/>
    </row>
    <row r="955" spans="3:9" ht="13.2" x14ac:dyDescent="0.25">
      <c r="C955" s="25"/>
      <c r="D955" s="26"/>
      <c r="I955" s="27"/>
    </row>
    <row r="956" spans="3:9" ht="13.2" x14ac:dyDescent="0.25">
      <c r="C956" s="25"/>
      <c r="D956" s="26"/>
      <c r="I956" s="27"/>
    </row>
    <row r="957" spans="3:9" ht="13.2" x14ac:dyDescent="0.25">
      <c r="C957" s="25"/>
      <c r="D957" s="26"/>
      <c r="I957" s="27"/>
    </row>
    <row r="958" spans="3:9" ht="13.2" x14ac:dyDescent="0.25">
      <c r="C958" s="25"/>
      <c r="D958" s="26"/>
      <c r="I958" s="27"/>
    </row>
    <row r="959" spans="3:9" ht="13.2" x14ac:dyDescent="0.25">
      <c r="C959" s="25"/>
      <c r="D959" s="26"/>
      <c r="I959" s="27"/>
    </row>
    <row r="960" spans="3:9" ht="13.2" x14ac:dyDescent="0.25">
      <c r="C960" s="25"/>
      <c r="D960" s="26"/>
      <c r="I960" s="27"/>
    </row>
    <row r="961" spans="3:9" ht="13.2" x14ac:dyDescent="0.25">
      <c r="C961" s="25"/>
      <c r="D961" s="26"/>
      <c r="I961" s="27"/>
    </row>
    <row r="962" spans="3:9" ht="13.2" x14ac:dyDescent="0.25">
      <c r="C962" s="25"/>
      <c r="D962" s="26"/>
      <c r="I962" s="27"/>
    </row>
    <row r="963" spans="3:9" ht="13.2" x14ac:dyDescent="0.25">
      <c r="C963" s="25"/>
      <c r="D963" s="26"/>
      <c r="I963" s="27"/>
    </row>
    <row r="964" spans="3:9" ht="13.2" x14ac:dyDescent="0.25">
      <c r="C964" s="25"/>
      <c r="D964" s="26"/>
      <c r="I964" s="27"/>
    </row>
    <row r="965" spans="3:9" ht="13.2" x14ac:dyDescent="0.25">
      <c r="C965" s="25"/>
      <c r="D965" s="26"/>
      <c r="I965" s="27"/>
    </row>
    <row r="966" spans="3:9" ht="13.2" x14ac:dyDescent="0.25">
      <c r="C966" s="25"/>
      <c r="D966" s="26"/>
      <c r="I966" s="27"/>
    </row>
    <row r="967" spans="3:9" ht="13.2" x14ac:dyDescent="0.25">
      <c r="C967" s="25"/>
      <c r="D967" s="26"/>
      <c r="I967" s="27"/>
    </row>
    <row r="968" spans="3:9" ht="13.2" x14ac:dyDescent="0.25">
      <c r="C968" s="25"/>
      <c r="D968" s="26"/>
      <c r="I968" s="27"/>
    </row>
    <row r="969" spans="3:9" ht="13.2" x14ac:dyDescent="0.25">
      <c r="C969" s="25"/>
      <c r="D969" s="26"/>
      <c r="I969" s="27"/>
    </row>
    <row r="970" spans="3:9" ht="13.2" x14ac:dyDescent="0.25">
      <c r="C970" s="25"/>
      <c r="D970" s="26"/>
      <c r="I970" s="27"/>
    </row>
    <row r="971" spans="3:9" ht="13.2" x14ac:dyDescent="0.25">
      <c r="C971" s="25"/>
      <c r="D971" s="26"/>
      <c r="I971" s="27"/>
    </row>
    <row r="972" spans="3:9" ht="13.2" x14ac:dyDescent="0.25">
      <c r="C972" s="25"/>
      <c r="D972" s="26"/>
      <c r="I972" s="27"/>
    </row>
    <row r="973" spans="3:9" ht="13.2" x14ac:dyDescent="0.25">
      <c r="C973" s="25"/>
      <c r="D973" s="26"/>
      <c r="I973" s="27"/>
    </row>
    <row r="974" spans="3:9" ht="13.2" x14ac:dyDescent="0.25">
      <c r="C974" s="25"/>
      <c r="D974" s="26"/>
      <c r="I974" s="27"/>
    </row>
    <row r="975" spans="3:9" ht="13.2" x14ac:dyDescent="0.25">
      <c r="C975" s="25"/>
      <c r="D975" s="26"/>
      <c r="I975" s="27"/>
    </row>
    <row r="976" spans="3:9" ht="13.2" x14ac:dyDescent="0.25">
      <c r="C976" s="25"/>
      <c r="D976" s="26"/>
      <c r="I976" s="27"/>
    </row>
    <row r="977" spans="3:9" ht="13.2" x14ac:dyDescent="0.25">
      <c r="C977" s="25"/>
      <c r="D977" s="26"/>
      <c r="I977" s="27"/>
    </row>
    <row r="978" spans="3:9" ht="13.2" x14ac:dyDescent="0.25">
      <c r="C978" s="25"/>
      <c r="D978" s="26"/>
      <c r="I978" s="27"/>
    </row>
    <row r="979" spans="3:9" ht="13.2" x14ac:dyDescent="0.25">
      <c r="C979" s="25"/>
      <c r="D979" s="26"/>
      <c r="I979" s="27"/>
    </row>
    <row r="980" spans="3:9" ht="13.2" x14ac:dyDescent="0.25">
      <c r="C980" s="25"/>
      <c r="D980" s="26"/>
      <c r="I980" s="27"/>
    </row>
    <row r="981" spans="3:9" ht="13.2" x14ac:dyDescent="0.25">
      <c r="C981" s="25"/>
      <c r="D981" s="26"/>
      <c r="I981" s="27"/>
    </row>
    <row r="982" spans="3:9" ht="13.2" x14ac:dyDescent="0.25">
      <c r="C982" s="25"/>
      <c r="D982" s="26"/>
      <c r="I982" s="27"/>
    </row>
    <row r="983" spans="3:9" ht="13.2" x14ac:dyDescent="0.25">
      <c r="C983" s="25"/>
      <c r="D983" s="26"/>
      <c r="I983" s="27"/>
    </row>
    <row r="984" spans="3:9" ht="13.2" x14ac:dyDescent="0.25">
      <c r="C984" s="25"/>
      <c r="D984" s="26"/>
      <c r="I984" s="27"/>
    </row>
    <row r="985" spans="3:9" ht="13.2" x14ac:dyDescent="0.25">
      <c r="C985" s="25"/>
      <c r="D985" s="26"/>
      <c r="I985" s="27"/>
    </row>
    <row r="986" spans="3:9" ht="13.2" x14ac:dyDescent="0.25">
      <c r="C986" s="25"/>
      <c r="D986" s="26"/>
      <c r="I986" s="27"/>
    </row>
    <row r="987" spans="3:9" ht="13.2" x14ac:dyDescent="0.25">
      <c r="C987" s="25"/>
      <c r="D987" s="26"/>
      <c r="I987" s="27"/>
    </row>
    <row r="988" spans="3:9" ht="13.2" x14ac:dyDescent="0.25">
      <c r="C988" s="25"/>
      <c r="D988" s="26"/>
      <c r="I988" s="27"/>
    </row>
    <row r="989" spans="3:9" ht="13.2" x14ac:dyDescent="0.25">
      <c r="C989" s="25"/>
      <c r="D989" s="26"/>
      <c r="I989" s="27"/>
    </row>
    <row r="990" spans="3:9" ht="13.2" x14ac:dyDescent="0.25">
      <c r="C990" s="25"/>
      <c r="D990" s="26"/>
      <c r="I990" s="27"/>
    </row>
    <row r="991" spans="3:9" ht="13.2" x14ac:dyDescent="0.25">
      <c r="C991" s="25"/>
      <c r="D991" s="26"/>
      <c r="I991" s="27"/>
    </row>
    <row r="992" spans="3:9" ht="13.2" x14ac:dyDescent="0.25">
      <c r="C992" s="25"/>
      <c r="D992" s="26"/>
      <c r="I992" s="27"/>
    </row>
    <row r="993" spans="3:9" ht="13.2" x14ac:dyDescent="0.25">
      <c r="C993" s="25"/>
      <c r="D993" s="26"/>
      <c r="I993" s="27"/>
    </row>
    <row r="994" spans="3:9" ht="13.2" x14ac:dyDescent="0.25">
      <c r="C994" s="25"/>
      <c r="D994" s="26"/>
      <c r="I994" s="27"/>
    </row>
    <row r="995" spans="3:9" ht="13.2" x14ac:dyDescent="0.25">
      <c r="C995" s="25"/>
      <c r="D995" s="26"/>
      <c r="I995" s="27"/>
    </row>
    <row r="996" spans="3:9" ht="13.2" x14ac:dyDescent="0.25">
      <c r="C996" s="25"/>
      <c r="D996" s="26"/>
      <c r="I996" s="27"/>
    </row>
    <row r="997" spans="3:9" ht="13.2" x14ac:dyDescent="0.25">
      <c r="C997" s="25"/>
      <c r="D997" s="26"/>
      <c r="I997" s="27"/>
    </row>
    <row r="998" spans="3:9" ht="13.2" x14ac:dyDescent="0.25">
      <c r="C998" s="25"/>
      <c r="D998" s="26"/>
      <c r="I998" s="27"/>
    </row>
    <row r="999" spans="3:9" ht="13.2" x14ac:dyDescent="0.25">
      <c r="C999" s="25"/>
      <c r="D999" s="26"/>
      <c r="I999" s="27"/>
    </row>
    <row r="1000" spans="3:9" ht="13.2" x14ac:dyDescent="0.25">
      <c r="C1000" s="25"/>
      <c r="D1000" s="26"/>
      <c r="I1000" s="27"/>
    </row>
    <row r="1001" spans="3:9" ht="13.2" x14ac:dyDescent="0.25">
      <c r="C1001" s="24"/>
      <c r="D1001" s="26"/>
    </row>
    <row r="1002" spans="3:9" ht="13.2" x14ac:dyDescent="0.25">
      <c r="C1002" s="24"/>
      <c r="D1002" s="2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BE064-4DAE-4F8F-A71C-2E0631437AA8}">
  <sheetPr>
    <tabColor theme="9" tint="0.39997558519241921"/>
  </sheetPr>
  <dimension ref="A1:B32"/>
  <sheetViews>
    <sheetView workbookViewId="0">
      <selection activeCell="B37" sqref="B37"/>
    </sheetView>
  </sheetViews>
  <sheetFormatPr defaultRowHeight="13.2" x14ac:dyDescent="0.25"/>
  <cols>
    <col min="1" max="1" width="82.77734375" bestFit="1" customWidth="1"/>
    <col min="2" max="2" width="89.109375" bestFit="1" customWidth="1"/>
  </cols>
  <sheetData>
    <row r="1" spans="1:2" ht="13.8" thickBot="1" x14ac:dyDescent="0.3">
      <c r="A1" s="23" t="s">
        <v>120</v>
      </c>
      <c r="B1" s="22" t="s">
        <v>153</v>
      </c>
    </row>
    <row r="2" spans="1:2" x14ac:dyDescent="0.25">
      <c r="A2" s="11"/>
      <c r="B2" s="11"/>
    </row>
    <row r="3" spans="1:2" x14ac:dyDescent="0.25">
      <c r="A3" s="14" t="s">
        <v>142</v>
      </c>
      <c r="B3" s="39" t="s">
        <v>154</v>
      </c>
    </row>
    <row r="4" spans="1:2" x14ac:dyDescent="0.25">
      <c r="A4" s="15" t="s">
        <v>143</v>
      </c>
      <c r="B4" s="11" t="s">
        <v>155</v>
      </c>
    </row>
    <row r="5" spans="1:2" x14ac:dyDescent="0.25">
      <c r="A5" s="16"/>
      <c r="B5" s="11"/>
    </row>
    <row r="6" spans="1:2" x14ac:dyDescent="0.25">
      <c r="A6" s="19" t="s">
        <v>144</v>
      </c>
      <c r="B6" s="18" t="s">
        <v>156</v>
      </c>
    </row>
    <row r="7" spans="1:2" x14ac:dyDescent="0.25">
      <c r="A7" s="19" t="s">
        <v>145</v>
      </c>
      <c r="B7" s="18" t="s">
        <v>157</v>
      </c>
    </row>
    <row r="8" spans="1:2" x14ac:dyDescent="0.25">
      <c r="A8" s="19" t="s">
        <v>146</v>
      </c>
      <c r="B8" s="18" t="s">
        <v>158</v>
      </c>
    </row>
    <row r="9" spans="1:2" x14ac:dyDescent="0.25">
      <c r="A9" s="19" t="s">
        <v>147</v>
      </c>
      <c r="B9" s="18" t="s">
        <v>159</v>
      </c>
    </row>
    <row r="10" spans="1:2" x14ac:dyDescent="0.25">
      <c r="A10" s="11"/>
      <c r="B10" s="13"/>
    </row>
    <row r="11" spans="1:2" x14ac:dyDescent="0.25">
      <c r="A11" s="14" t="s">
        <v>148</v>
      </c>
      <c r="B11" s="44" t="s">
        <v>160</v>
      </c>
    </row>
    <row r="12" spans="1:2" x14ac:dyDescent="0.25">
      <c r="A12" s="15" t="s">
        <v>149</v>
      </c>
      <c r="B12" s="11" t="s">
        <v>155</v>
      </c>
    </row>
    <row r="13" spans="1:2" x14ac:dyDescent="0.25">
      <c r="A13" s="16"/>
      <c r="B13" s="11"/>
    </row>
    <row r="14" spans="1:2" x14ac:dyDescent="0.25">
      <c r="A14" s="19" t="s">
        <v>150</v>
      </c>
      <c r="B14" s="17" t="s">
        <v>161</v>
      </c>
    </row>
    <row r="15" spans="1:2" x14ac:dyDescent="0.25">
      <c r="A15" s="19" t="s">
        <v>151</v>
      </c>
      <c r="B15" s="17" t="s">
        <v>162</v>
      </c>
    </row>
    <row r="16" spans="1:2" ht="13.8" thickBot="1" x14ac:dyDescent="0.3">
      <c r="A16" s="21" t="s">
        <v>152</v>
      </c>
      <c r="B16" s="20" t="s">
        <v>163</v>
      </c>
    </row>
    <row r="17" spans="1:2" ht="13.8" thickBot="1" x14ac:dyDescent="0.3"/>
    <row r="18" spans="1:2" ht="13.8" thickBot="1" x14ac:dyDescent="0.3">
      <c r="A18" s="22" t="s">
        <v>120</v>
      </c>
      <c r="B18" s="22" t="s">
        <v>131</v>
      </c>
    </row>
    <row r="19" spans="1:2" x14ac:dyDescent="0.25">
      <c r="A19" s="11"/>
      <c r="B19" s="11"/>
    </row>
    <row r="20" spans="1:2" x14ac:dyDescent="0.25">
      <c r="A20" s="14" t="s">
        <v>182</v>
      </c>
      <c r="B20" s="45" t="s">
        <v>181</v>
      </c>
    </row>
    <row r="21" spans="1:2" x14ac:dyDescent="0.25">
      <c r="A21" s="11" t="s">
        <v>121</v>
      </c>
      <c r="B21" s="11" t="s">
        <v>132</v>
      </c>
    </row>
    <row r="22" spans="1:2" x14ac:dyDescent="0.25">
      <c r="A22" s="11"/>
      <c r="B22" s="11"/>
    </row>
    <row r="23" spans="1:2" x14ac:dyDescent="0.25">
      <c r="A23" s="11" t="s">
        <v>122</v>
      </c>
      <c r="B23" s="11" t="s">
        <v>133</v>
      </c>
    </row>
    <row r="24" spans="1:2" x14ac:dyDescent="0.25">
      <c r="A24" s="11" t="s">
        <v>123</v>
      </c>
      <c r="B24" s="11" t="s">
        <v>134</v>
      </c>
    </row>
    <row r="25" spans="1:2" x14ac:dyDescent="0.25">
      <c r="A25" s="11" t="s">
        <v>124</v>
      </c>
      <c r="B25" s="11" t="s">
        <v>135</v>
      </c>
    </row>
    <row r="26" spans="1:2" x14ac:dyDescent="0.25">
      <c r="A26" s="11" t="s">
        <v>125</v>
      </c>
      <c r="B26" s="11" t="s">
        <v>136</v>
      </c>
    </row>
    <row r="27" spans="1:2" x14ac:dyDescent="0.25">
      <c r="A27" s="11" t="s">
        <v>126</v>
      </c>
      <c r="B27" s="11" t="s">
        <v>137</v>
      </c>
    </row>
    <row r="28" spans="1:2" x14ac:dyDescent="0.25">
      <c r="A28" s="11" t="s">
        <v>127</v>
      </c>
      <c r="B28" s="11" t="s">
        <v>138</v>
      </c>
    </row>
    <row r="29" spans="1:2" x14ac:dyDescent="0.25">
      <c r="A29" s="11" t="s">
        <v>128</v>
      </c>
      <c r="B29" s="11" t="s">
        <v>139</v>
      </c>
    </row>
    <row r="30" spans="1:2" x14ac:dyDescent="0.25">
      <c r="A30" s="11"/>
      <c r="B30" s="11"/>
    </row>
    <row r="31" spans="1:2" x14ac:dyDescent="0.25">
      <c r="A31" s="11" t="s">
        <v>129</v>
      </c>
      <c r="B31" s="11" t="s">
        <v>140</v>
      </c>
    </row>
    <row r="32" spans="1:2" ht="13.8" thickBot="1" x14ac:dyDescent="0.3">
      <c r="A32" s="12" t="s">
        <v>130</v>
      </c>
      <c r="B32" s="12" t="s">
        <v>141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385FF-31DE-4BD3-ABDF-06184D6FEDA8}">
  <sheetPr>
    <tabColor theme="9" tint="0.39997558519241921"/>
  </sheetPr>
  <dimension ref="A1:K49"/>
  <sheetViews>
    <sheetView workbookViewId="0">
      <selection activeCell="E4" sqref="E4"/>
    </sheetView>
  </sheetViews>
  <sheetFormatPr defaultRowHeight="13.2" x14ac:dyDescent="0.25"/>
  <cols>
    <col min="1" max="1" width="13.33203125" bestFit="1" customWidth="1"/>
    <col min="2" max="2" width="29.88671875" customWidth="1"/>
    <col min="4" max="4" width="13.33203125" bestFit="1" customWidth="1"/>
    <col min="5" max="5" width="25.77734375" bestFit="1" customWidth="1"/>
    <col min="7" max="7" width="11.6640625" bestFit="1" customWidth="1"/>
    <col min="8" max="8" width="6.33203125" bestFit="1" customWidth="1"/>
    <col min="11" max="11" width="33.88671875" bestFit="1" customWidth="1"/>
  </cols>
  <sheetData>
    <row r="1" spans="1:11" x14ac:dyDescent="0.25">
      <c r="A1" s="43">
        <v>1</v>
      </c>
      <c r="D1" s="43">
        <v>2</v>
      </c>
      <c r="G1" s="43">
        <v>3</v>
      </c>
      <c r="J1" s="43">
        <v>4</v>
      </c>
    </row>
    <row r="2" spans="1:11" ht="13.8" thickBot="1" x14ac:dyDescent="0.3"/>
    <row r="3" spans="1:11" ht="13.8" thickBot="1" x14ac:dyDescent="0.3">
      <c r="A3" s="33" t="s">
        <v>172</v>
      </c>
      <c r="B3" t="s">
        <v>170</v>
      </c>
      <c r="D3" s="33" t="s">
        <v>11</v>
      </c>
      <c r="E3" t="s">
        <v>170</v>
      </c>
      <c r="G3" s="33" t="s">
        <v>6</v>
      </c>
      <c r="H3" t="s">
        <v>174</v>
      </c>
      <c r="J3" s="42">
        <f>AVERAGE('CLEAN DATA'!J:J)</f>
        <v>1140.78</v>
      </c>
      <c r="K3" s="36" t="s">
        <v>180</v>
      </c>
    </row>
    <row r="4" spans="1:11" x14ac:dyDescent="0.25">
      <c r="A4" s="28" t="s">
        <v>164</v>
      </c>
      <c r="B4" s="34">
        <v>459279.8</v>
      </c>
      <c r="D4" s="28" t="s">
        <v>34</v>
      </c>
      <c r="E4" s="34">
        <v>430306.51612903224</v>
      </c>
      <c r="G4" s="28" t="s">
        <v>29</v>
      </c>
      <c r="H4" s="41">
        <v>30</v>
      </c>
    </row>
    <row r="5" spans="1:11" x14ac:dyDescent="0.25">
      <c r="A5" s="28" t="s">
        <v>165</v>
      </c>
      <c r="B5" s="34">
        <v>420884.9</v>
      </c>
      <c r="D5" s="28" t="s">
        <v>54</v>
      </c>
      <c r="E5" s="34">
        <v>423864.15625</v>
      </c>
      <c r="G5" s="28" t="s">
        <v>18</v>
      </c>
      <c r="H5" s="41">
        <v>27</v>
      </c>
    </row>
    <row r="6" spans="1:11" x14ac:dyDescent="0.25">
      <c r="A6" s="28" t="s">
        <v>171</v>
      </c>
      <c r="B6" s="34">
        <v>440082.35</v>
      </c>
      <c r="D6" s="28" t="s">
        <v>17</v>
      </c>
      <c r="E6" s="34">
        <v>462299.45945945947</v>
      </c>
      <c r="G6" s="28" t="s">
        <v>15</v>
      </c>
      <c r="H6" s="41">
        <v>24</v>
      </c>
    </row>
    <row r="7" spans="1:11" x14ac:dyDescent="0.25">
      <c r="D7" s="28" t="s">
        <v>171</v>
      </c>
      <c r="E7" s="34">
        <v>440082.35</v>
      </c>
      <c r="G7" s="28" t="s">
        <v>21</v>
      </c>
      <c r="H7" s="41">
        <v>19</v>
      </c>
    </row>
    <row r="8" spans="1:11" ht="13.8" thickBot="1" x14ac:dyDescent="0.3">
      <c r="G8" s="28" t="s">
        <v>166</v>
      </c>
      <c r="H8" s="41">
        <v>100</v>
      </c>
    </row>
    <row r="9" spans="1:11" ht="13.8" thickBot="1" x14ac:dyDescent="0.3">
      <c r="A9" s="37">
        <f>GETPIVOTDATA("Total_Price_PLN",$A$3,"Has_Garage",FALSE)-GETPIVOTDATA("Total_Price_PLN",$A$3,"Has_Garage",TRUE)</f>
        <v>38394.899999999965</v>
      </c>
      <c r="B9" s="38" t="s">
        <v>168</v>
      </c>
    </row>
    <row r="12" spans="1:11" x14ac:dyDescent="0.25">
      <c r="A12" s="39" t="s">
        <v>154</v>
      </c>
      <c r="B12" s="40"/>
    </row>
    <row r="13" spans="1:11" x14ac:dyDescent="0.25">
      <c r="A13" s="35" t="s">
        <v>167</v>
      </c>
    </row>
    <row r="14" spans="1:11" x14ac:dyDescent="0.25">
      <c r="A14" s="10" t="s">
        <v>179</v>
      </c>
    </row>
    <row r="16" spans="1:11" x14ac:dyDescent="0.25">
      <c r="A16" s="35" t="s">
        <v>169</v>
      </c>
    </row>
    <row r="17" spans="1:1" x14ac:dyDescent="0.25">
      <c r="A17" s="10" t="s">
        <v>178</v>
      </c>
    </row>
    <row r="19" spans="1:1" x14ac:dyDescent="0.25">
      <c r="A19" s="35" t="s">
        <v>173</v>
      </c>
    </row>
    <row r="20" spans="1:1" x14ac:dyDescent="0.25">
      <c r="A20" s="10" t="s">
        <v>177</v>
      </c>
    </row>
    <row r="22" spans="1:1" x14ac:dyDescent="0.25">
      <c r="A22" s="35" t="s">
        <v>175</v>
      </c>
    </row>
    <row r="23" spans="1:1" x14ac:dyDescent="0.25">
      <c r="A23" s="10" t="s">
        <v>176</v>
      </c>
    </row>
    <row r="25" spans="1:1" x14ac:dyDescent="0.25">
      <c r="A25" s="9" t="s">
        <v>183</v>
      </c>
    </row>
    <row r="27" spans="1:1" x14ac:dyDescent="0.25">
      <c r="A27" s="10" t="s">
        <v>184</v>
      </c>
    </row>
    <row r="28" spans="1:1" x14ac:dyDescent="0.25">
      <c r="A28" s="10" t="s">
        <v>185</v>
      </c>
    </row>
    <row r="29" spans="1:1" x14ac:dyDescent="0.25">
      <c r="A29" s="10" t="s">
        <v>186</v>
      </c>
    </row>
    <row r="39" spans="1:1" x14ac:dyDescent="0.25">
      <c r="A39" s="10"/>
    </row>
    <row r="41" spans="1:1" x14ac:dyDescent="0.25">
      <c r="A41" s="10"/>
    </row>
    <row r="43" spans="1:1" x14ac:dyDescent="0.25">
      <c r="A43" s="10"/>
    </row>
    <row r="45" spans="1:1" x14ac:dyDescent="0.25">
      <c r="A45" s="10"/>
    </row>
    <row r="47" spans="1:1" x14ac:dyDescent="0.25">
      <c r="A47" s="10"/>
    </row>
    <row r="49" spans="1:1" x14ac:dyDescent="0.25">
      <c r="A49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B5CAB-C022-43E5-82BF-C7B013269F94}">
  <sheetPr>
    <tabColor theme="9" tint="-0.499984740745262"/>
  </sheetPr>
  <dimension ref="A1:E46"/>
  <sheetViews>
    <sheetView tabSelected="1" workbookViewId="0">
      <selection activeCell="E15" sqref="E15"/>
    </sheetView>
  </sheetViews>
  <sheetFormatPr defaultRowHeight="13.2" x14ac:dyDescent="0.25"/>
  <cols>
    <col min="1" max="1" width="18.109375" customWidth="1"/>
    <col min="2" max="2" width="11.5546875" bestFit="1" customWidth="1"/>
    <col min="3" max="3" width="28.5546875" bestFit="1" customWidth="1"/>
    <col min="5" max="5" width="166.6640625" bestFit="1" customWidth="1"/>
  </cols>
  <sheetData>
    <row r="1" spans="1:5" ht="13.8" thickBot="1" x14ac:dyDescent="0.3">
      <c r="A1" s="46" t="s">
        <v>187</v>
      </c>
      <c r="B1" s="47"/>
      <c r="C1" s="48"/>
    </row>
    <row r="2" spans="1:5" x14ac:dyDescent="0.25">
      <c r="A2" s="49"/>
      <c r="B2" s="50"/>
      <c r="C2" s="51"/>
    </row>
    <row r="3" spans="1:5" x14ac:dyDescent="0.25">
      <c r="A3" s="67" t="s">
        <v>187</v>
      </c>
      <c r="B3" s="68">
        <f>AVERAGEIF(Table1[Has_Garage], TRUE, Table1[Total_Price_PLN])</f>
        <v>420884.9</v>
      </c>
      <c r="C3" s="69" t="s">
        <v>188</v>
      </c>
    </row>
    <row r="4" spans="1:5" x14ac:dyDescent="0.25">
      <c r="A4" s="67" t="s">
        <v>187</v>
      </c>
      <c r="B4" s="70">
        <f>AVERAGEIF(Table1[Has_Garage], FALSE, Table1[Total_Price_PLN])</f>
        <v>459279.8</v>
      </c>
      <c r="C4" s="69" t="s">
        <v>189</v>
      </c>
      <c r="E4" s="35" t="s">
        <v>222</v>
      </c>
    </row>
    <row r="5" spans="1:5" x14ac:dyDescent="0.25">
      <c r="A5" s="71"/>
      <c r="B5" s="56"/>
      <c r="C5" s="72"/>
    </row>
    <row r="6" spans="1:5" x14ac:dyDescent="0.25">
      <c r="A6" s="67" t="s">
        <v>187</v>
      </c>
      <c r="B6" s="68">
        <f>AVERAGEIF(Table1[Type], "Apartment", Table1[Total_Price_PLN])</f>
        <v>430306.51612903224</v>
      </c>
      <c r="C6" s="69" t="s">
        <v>34</v>
      </c>
    </row>
    <row r="7" spans="1:5" x14ac:dyDescent="0.25">
      <c r="A7" s="67" t="s">
        <v>187</v>
      </c>
      <c r="B7" s="68">
        <f>AVERAGEIF(Table1[Type], "House", Table1[Total_Price_PLN])</f>
        <v>423864.15625</v>
      </c>
      <c r="C7" s="69" t="s">
        <v>54</v>
      </c>
    </row>
    <row r="8" spans="1:5" x14ac:dyDescent="0.25">
      <c r="A8" s="67" t="s">
        <v>187</v>
      </c>
      <c r="B8" s="70">
        <f>AVERAGEIF(Table1[Type], "Studio", Table1[Total_Price_PLN])</f>
        <v>462299.45945945947</v>
      </c>
      <c r="C8" s="69" t="s">
        <v>17</v>
      </c>
      <c r="E8" s="88" t="s">
        <v>221</v>
      </c>
    </row>
    <row r="9" spans="1:5" x14ac:dyDescent="0.25">
      <c r="A9" s="71"/>
      <c r="B9" s="56"/>
      <c r="C9" s="72"/>
    </row>
    <row r="10" spans="1:5" x14ac:dyDescent="0.25">
      <c r="A10" s="67" t="s">
        <v>194</v>
      </c>
      <c r="B10" s="66">
        <f>COUNTIF(Table1[Condition], "New")</f>
        <v>30</v>
      </c>
      <c r="C10" s="57" t="s">
        <v>190</v>
      </c>
      <c r="E10" s="35" t="s">
        <v>223</v>
      </c>
    </row>
    <row r="11" spans="1:5" x14ac:dyDescent="0.25">
      <c r="A11" s="67" t="s">
        <v>194</v>
      </c>
      <c r="B11" s="56">
        <f>COUNTIF(Table1[Condition], "Good")</f>
        <v>27</v>
      </c>
      <c r="C11" s="57" t="s">
        <v>191</v>
      </c>
    </row>
    <row r="12" spans="1:5" x14ac:dyDescent="0.25">
      <c r="A12" s="67" t="s">
        <v>194</v>
      </c>
      <c r="B12" s="56">
        <f>COUNTIF(Table1[Condition], "Poor")</f>
        <v>19</v>
      </c>
      <c r="C12" s="57" t="s">
        <v>192</v>
      </c>
    </row>
    <row r="13" spans="1:5" x14ac:dyDescent="0.25">
      <c r="A13" s="67" t="s">
        <v>194</v>
      </c>
      <c r="B13" s="56">
        <f>COUNTIF(Table1[Condition], "Average")</f>
        <v>24</v>
      </c>
      <c r="C13" s="57" t="s">
        <v>193</v>
      </c>
    </row>
    <row r="14" spans="1:5" x14ac:dyDescent="0.25">
      <c r="A14" s="53"/>
      <c r="B14" s="54"/>
      <c r="C14" s="55"/>
    </row>
    <row r="15" spans="1:5" x14ac:dyDescent="0.25">
      <c r="A15" s="53"/>
      <c r="B15" s="54"/>
      <c r="C15" s="55"/>
    </row>
    <row r="16" spans="1:5" x14ac:dyDescent="0.25">
      <c r="A16" s="67" t="s">
        <v>187</v>
      </c>
      <c r="B16" s="52">
        <f>AVERAGE('CLEAN DATA'!J:J)</f>
        <v>1140.78</v>
      </c>
      <c r="C16" s="55"/>
      <c r="E16" s="35" t="s">
        <v>220</v>
      </c>
    </row>
    <row r="17" spans="1:4" x14ac:dyDescent="0.25">
      <c r="A17" s="53"/>
      <c r="B17" s="54"/>
      <c r="C17" s="55"/>
    </row>
    <row r="18" spans="1:4" ht="13.8" thickBot="1" x14ac:dyDescent="0.3">
      <c r="A18" s="58"/>
      <c r="B18" s="59"/>
      <c r="C18" s="60"/>
    </row>
    <row r="21" spans="1:4" ht="13.8" thickBot="1" x14ac:dyDescent="0.3"/>
    <row r="22" spans="1:4" ht="13.8" thickBot="1" x14ac:dyDescent="0.3">
      <c r="A22" s="46" t="s">
        <v>202</v>
      </c>
      <c r="B22" s="47"/>
      <c r="C22" s="47"/>
      <c r="D22" s="48"/>
    </row>
    <row r="23" spans="1:4" ht="13.8" thickBot="1" x14ac:dyDescent="0.3"/>
    <row r="24" spans="1:4" ht="13.8" thickBot="1" x14ac:dyDescent="0.3">
      <c r="A24" s="74" t="s">
        <v>195</v>
      </c>
      <c r="B24" s="74" t="s">
        <v>15</v>
      </c>
      <c r="C24" s="74" t="s">
        <v>196</v>
      </c>
      <c r="D24" s="73" t="s">
        <v>197</v>
      </c>
    </row>
    <row r="25" spans="1:4" x14ac:dyDescent="0.25">
      <c r="A25" s="75" t="s">
        <v>198</v>
      </c>
      <c r="B25" s="77">
        <f>AVERAGEIF(Table1[Location], "Dzielnica A", Table1[Price_per_sqm])</f>
        <v>5108.0810000000001</v>
      </c>
      <c r="C25" s="77" cm="1">
        <f t="array" ref="C25">MEDIAN(IF(Table1[Location]="Dzielnica A", Table1[Price_per_sqm]))</f>
        <v>4972.29</v>
      </c>
      <c r="D25" s="64" cm="1">
        <f t="array" ref="D25">_xlfn.MODE.SNGL(IF(Table1[Location]="Dzielnica A", Table1[Price_per_sqm]))</f>
        <v>4657.29</v>
      </c>
    </row>
    <row r="26" spans="1:4" x14ac:dyDescent="0.25">
      <c r="A26" s="75" t="s">
        <v>199</v>
      </c>
      <c r="B26" s="77">
        <f>AVERAGEIF(Table1[Location], "Dzielnica B", Table1[Price_per_sqm])</f>
        <v>5003.4326923076933</v>
      </c>
      <c r="C26" s="77" cm="1">
        <f t="array" ref="C26">MEDIAN(IF(Table1[Location]="Dzielnica B", Table1[Price_per_sqm]))</f>
        <v>4973.49</v>
      </c>
      <c r="D26" s="64" cm="1">
        <f t="array" ref="D26">_xlfn.MODE.SNGL(IF(Table1[Location]="Dzielnica B", Table1[Price_per_sqm]))</f>
        <v>4973.49</v>
      </c>
    </row>
    <row r="27" spans="1:4" x14ac:dyDescent="0.25">
      <c r="A27" s="75" t="s">
        <v>200</v>
      </c>
      <c r="B27" s="77">
        <f>AVERAGEIF(Table1[Location], "Dzielnica C", Table1[Price_per_sqm])</f>
        <v>5031.9449999999997</v>
      </c>
      <c r="C27" s="77" cm="1">
        <f t="array" ref="C27">MEDIAN(IF(Table1[Location]="Dzielnica C", Table1[Price_per_sqm]))</f>
        <v>5051.0949999999993</v>
      </c>
      <c r="D27" s="64" cm="1">
        <f t="array" ref="D27">_xlfn.MODE.SNGL(IF(Table1[Location]="Dzielnica C", Table1[Price_per_sqm]))</f>
        <v>5738.47</v>
      </c>
    </row>
    <row r="28" spans="1:4" ht="13.8" thickBot="1" x14ac:dyDescent="0.3">
      <c r="A28" s="76" t="s">
        <v>201</v>
      </c>
      <c r="B28" s="78">
        <f>AVERAGEIF(Table1[Location], "Dzielnica D", Table1[Price_per_sqm])</f>
        <v>4811.6289999999999</v>
      </c>
      <c r="C28" s="78" cm="1">
        <f t="array" ref="C28">MEDIAN(IF(Table1[Location]="Dzielnica D", Table1[Price_per_sqm]))</f>
        <v>4827.4799999999996</v>
      </c>
      <c r="D28" s="65" cm="1">
        <f t="array" ref="D28">_xlfn.MODE.SNGL(IF(Table1[Location]="Dzielnica D", Table1[Price_per_sqm]))</f>
        <v>5099.6499999999996</v>
      </c>
    </row>
    <row r="31" spans="1:4" ht="13.8" thickBot="1" x14ac:dyDescent="0.3"/>
    <row r="32" spans="1:4" ht="13.8" thickBot="1" x14ac:dyDescent="0.3">
      <c r="A32" s="46" t="s">
        <v>211</v>
      </c>
      <c r="B32" s="47"/>
      <c r="C32" s="47"/>
      <c r="D32" s="48"/>
    </row>
    <row r="33" spans="1:5" ht="26.4" x14ac:dyDescent="0.25">
      <c r="A33" s="83"/>
      <c r="B33" s="80" t="s">
        <v>203</v>
      </c>
      <c r="C33" s="54"/>
      <c r="D33" s="55"/>
    </row>
    <row r="34" spans="1:5" x14ac:dyDescent="0.25">
      <c r="A34" s="79" t="s">
        <v>204</v>
      </c>
      <c r="B34" s="63">
        <f>MAX(Table1[Price_per_sqm])</f>
        <v>7463.24</v>
      </c>
      <c r="C34" s="54"/>
      <c r="D34" s="55"/>
    </row>
    <row r="35" spans="1:5" x14ac:dyDescent="0.25">
      <c r="A35" s="79" t="s">
        <v>205</v>
      </c>
      <c r="B35" s="63">
        <f>MIN(Table1[Price_per_sqm])</f>
        <v>2380.25</v>
      </c>
      <c r="C35" s="54"/>
      <c r="D35" s="55"/>
    </row>
    <row r="36" spans="1:5" x14ac:dyDescent="0.25">
      <c r="A36" s="79" t="s">
        <v>206</v>
      </c>
      <c r="B36" s="63">
        <f>MAX(Table1[Price_per_sqm]) - MIN(Table1[Price_per_sqm])</f>
        <v>5082.99</v>
      </c>
      <c r="C36" s="54"/>
      <c r="D36" s="55"/>
      <c r="E36" s="10" t="s">
        <v>208</v>
      </c>
    </row>
    <row r="37" spans="1:5" ht="26.4" x14ac:dyDescent="0.25">
      <c r="A37" s="79" t="s">
        <v>207</v>
      </c>
      <c r="B37" s="63">
        <f>_xlfn.STDEV.P(Table1[Total_Price_PLN])</f>
        <v>212597.41810014416</v>
      </c>
      <c r="C37" s="54"/>
      <c r="D37" s="55"/>
      <c r="E37" s="81" t="s">
        <v>209</v>
      </c>
    </row>
    <row r="38" spans="1:5" ht="26.4" x14ac:dyDescent="0.25">
      <c r="A38" s="79" t="s">
        <v>210</v>
      </c>
      <c r="B38" s="54"/>
      <c r="C38" s="54"/>
      <c r="D38" s="55"/>
      <c r="E38" s="10" t="s">
        <v>215</v>
      </c>
    </row>
    <row r="39" spans="1:5" x14ac:dyDescent="0.25">
      <c r="A39" s="84" t="s">
        <v>212</v>
      </c>
      <c r="B39" s="68">
        <f>_xlfn.QUARTILE.INC(Table1[Total_Price_PLN], 1)</f>
        <v>274293.5</v>
      </c>
      <c r="C39" s="54"/>
      <c r="D39" s="55"/>
    </row>
    <row r="40" spans="1:5" x14ac:dyDescent="0.25">
      <c r="A40" s="84" t="s">
        <v>213</v>
      </c>
      <c r="B40" s="68">
        <f>_xlfn.QUARTILE.INC(Table1[Total_Price_PLN], 3)</f>
        <v>600634.75</v>
      </c>
      <c r="C40" s="54"/>
      <c r="D40" s="55"/>
    </row>
    <row r="41" spans="1:5" x14ac:dyDescent="0.25">
      <c r="A41" s="84" t="s">
        <v>214</v>
      </c>
      <c r="B41" s="68">
        <f>_xlfn.QUARTILE.INC(Table1[Total_Price_PLN], 3) - _xlfn.QUARTILE.INC(Table1[Total_Price_PLN], 1)</f>
        <v>326341.25</v>
      </c>
      <c r="C41" s="54"/>
      <c r="D41" s="55"/>
    </row>
    <row r="42" spans="1:5" x14ac:dyDescent="0.25">
      <c r="A42" s="53"/>
      <c r="B42" s="54"/>
      <c r="C42" s="54"/>
      <c r="D42" s="55"/>
    </row>
    <row r="43" spans="1:5" x14ac:dyDescent="0.25">
      <c r="A43" s="84" t="s">
        <v>216</v>
      </c>
      <c r="B43" s="54"/>
      <c r="C43" s="54"/>
      <c r="D43" s="55"/>
    </row>
    <row r="44" spans="1:5" x14ac:dyDescent="0.25">
      <c r="A44" s="53"/>
      <c r="B44" s="54"/>
      <c r="C44" s="54"/>
      <c r="D44" s="55"/>
    </row>
    <row r="45" spans="1:5" x14ac:dyDescent="0.25">
      <c r="A45" s="85" t="s">
        <v>217</v>
      </c>
      <c r="B45" s="52">
        <f>_xlfn.QUARTILE.INC(Table1[Total_Price_PLN],1) - 1.5 * (_xlfn.QUARTILE.INC(Table1[Total_Price_PLN],3) - _xlfn.QUARTILE.INC(Table1[Total_Price_PLN],1))</f>
        <v>-215218.375</v>
      </c>
      <c r="C45" s="54"/>
      <c r="D45" s="55"/>
    </row>
    <row r="46" spans="1:5" ht="13.8" thickBot="1" x14ac:dyDescent="0.3">
      <c r="A46" s="86" t="s">
        <v>218</v>
      </c>
      <c r="B46" s="87">
        <f>_xlfn.QUARTILE.INC(Table1[Total_Price_PLN],3) + 1.5 * (_xlfn.QUARTILE.INC(Table1[Total_Price_PLN],3) - _xlfn.QUARTILE.INC(Table1[Total_Price_PLN],1))</f>
        <v>1090146.625</v>
      </c>
      <c r="C46" s="59"/>
      <c r="D46" s="60"/>
    </row>
  </sheetData>
  <mergeCells count="3">
    <mergeCell ref="A1:C1"/>
    <mergeCell ref="A22:D22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56217-6BA8-4C08-B9D5-D65BDA7FEF5F}">
  <sheetPr>
    <tabColor theme="9" tint="-0.499984740745262"/>
  </sheetPr>
  <dimension ref="O1:P4"/>
  <sheetViews>
    <sheetView workbookViewId="0">
      <selection activeCell="AG13" sqref="AG13"/>
    </sheetView>
  </sheetViews>
  <sheetFormatPr defaultRowHeight="13.2" x14ac:dyDescent="0.25"/>
  <sheetData>
    <row r="1" spans="15:16" x14ac:dyDescent="0.25">
      <c r="O1" s="10" t="s">
        <v>219</v>
      </c>
    </row>
    <row r="2" spans="15:16" x14ac:dyDescent="0.25">
      <c r="O2">
        <f>COUNTIF(Table1[Type], "Apartment")</f>
        <v>31</v>
      </c>
      <c r="P2" s="10" t="s">
        <v>34</v>
      </c>
    </row>
    <row r="3" spans="15:16" x14ac:dyDescent="0.25">
      <c r="O3">
        <f>COUNTIF(Table1[Type], "House")</f>
        <v>32</v>
      </c>
      <c r="P3" s="10" t="s">
        <v>54</v>
      </c>
    </row>
    <row r="4" spans="15:16" x14ac:dyDescent="0.25">
      <c r="O4">
        <f>COUNTIF(Table1[Type], "Studio")</f>
        <v>37</v>
      </c>
      <c r="P4" s="10" t="s">
        <v>17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1002"/>
  <sheetViews>
    <sheetView workbookViewId="0"/>
  </sheetViews>
  <sheetFormatPr defaultColWidth="12.6640625" defaultRowHeight="15" customHeight="1" x14ac:dyDescent="0.25"/>
  <cols>
    <col min="3" max="3" width="15.77734375" customWidth="1"/>
    <col min="16" max="16" width="19.21875" customWidth="1"/>
    <col min="17" max="17" width="16.88671875" customWidth="1"/>
  </cols>
  <sheetData>
    <row r="1" spans="1:18" ht="15.7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8" ht="15.75" customHeight="1" x14ac:dyDescent="0.3">
      <c r="A2" s="1">
        <v>1</v>
      </c>
      <c r="B2" s="1" t="s">
        <v>38</v>
      </c>
      <c r="C2" s="5">
        <v>5738.47</v>
      </c>
      <c r="D2" s="1">
        <v>119</v>
      </c>
      <c r="E2" s="1">
        <v>5</v>
      </c>
      <c r="F2" s="1">
        <v>2013</v>
      </c>
      <c r="G2" s="1" t="s">
        <v>21</v>
      </c>
      <c r="H2" s="1" t="b">
        <v>1</v>
      </c>
      <c r="I2" s="8">
        <v>15.24</v>
      </c>
      <c r="J2" s="1">
        <v>1018</v>
      </c>
      <c r="K2" s="1" t="b">
        <v>0</v>
      </c>
      <c r="L2" s="1" t="s">
        <v>54</v>
      </c>
      <c r="M2" s="7">
        <v>44085</v>
      </c>
      <c r="N2" s="1">
        <v>682877</v>
      </c>
    </row>
    <row r="3" spans="1:18" ht="15.75" customHeight="1" x14ac:dyDescent="0.3">
      <c r="A3" s="1">
        <v>2</v>
      </c>
      <c r="B3" s="1" t="s">
        <v>40</v>
      </c>
      <c r="C3" s="5">
        <v>5171.37</v>
      </c>
      <c r="D3" s="1">
        <v>141</v>
      </c>
      <c r="E3" s="1">
        <v>5</v>
      </c>
      <c r="F3" s="1">
        <v>2012</v>
      </c>
      <c r="G3" s="1" t="s">
        <v>29</v>
      </c>
      <c r="H3" s="1" t="b">
        <v>0</v>
      </c>
      <c r="I3" s="8">
        <v>8.4700000000000006</v>
      </c>
      <c r="J3" s="1">
        <v>602</v>
      </c>
      <c r="K3" s="1" t="b">
        <v>1</v>
      </c>
      <c r="L3" s="1" t="s">
        <v>54</v>
      </c>
      <c r="M3" s="7">
        <v>44740</v>
      </c>
      <c r="N3" s="1">
        <v>729163</v>
      </c>
      <c r="Q3" s="1"/>
      <c r="R3" s="1"/>
    </row>
    <row r="4" spans="1:18" ht="15.75" customHeight="1" x14ac:dyDescent="0.3">
      <c r="A4" s="1">
        <v>3</v>
      </c>
      <c r="B4" s="1" t="s">
        <v>14</v>
      </c>
      <c r="C4" s="5">
        <v>4884.3500000000004</v>
      </c>
      <c r="D4" s="1">
        <v>145</v>
      </c>
      <c r="E4" s="1">
        <v>3</v>
      </c>
      <c r="F4" s="1">
        <v>2018</v>
      </c>
      <c r="G4" s="1" t="s">
        <v>15</v>
      </c>
      <c r="H4" s="1" t="b">
        <v>1</v>
      </c>
      <c r="I4" s="8">
        <v>16.75</v>
      </c>
      <c r="J4" s="1">
        <v>938</v>
      </c>
      <c r="K4" s="1" t="b">
        <v>0</v>
      </c>
      <c r="L4" s="1" t="s">
        <v>17</v>
      </c>
      <c r="M4" s="7">
        <v>43928</v>
      </c>
      <c r="N4" s="1">
        <v>708230</v>
      </c>
      <c r="P4" s="1"/>
      <c r="Q4" s="1"/>
      <c r="R4" s="1"/>
    </row>
    <row r="5" spans="1:18" ht="15.75" customHeight="1" x14ac:dyDescent="0.3">
      <c r="A5" s="1">
        <v>4</v>
      </c>
      <c r="B5" s="1" t="s">
        <v>38</v>
      </c>
      <c r="C5" s="5">
        <v>4698.8999999999996</v>
      </c>
      <c r="D5" s="1">
        <v>89</v>
      </c>
      <c r="E5" s="1">
        <v>4</v>
      </c>
      <c r="F5" s="1">
        <v>1971</v>
      </c>
      <c r="G5" s="1" t="s">
        <v>29</v>
      </c>
      <c r="H5" s="1" t="b">
        <v>1</v>
      </c>
      <c r="I5" s="8">
        <v>11.81</v>
      </c>
      <c r="J5" s="1">
        <v>355</v>
      </c>
      <c r="K5" s="1" t="b">
        <v>1</v>
      </c>
      <c r="L5" s="1" t="s">
        <v>34</v>
      </c>
      <c r="M5" s="7">
        <v>43456</v>
      </c>
      <c r="N5" s="1">
        <v>418202</v>
      </c>
      <c r="P5" s="1"/>
      <c r="Q5" s="1"/>
      <c r="R5" s="1"/>
    </row>
    <row r="6" spans="1:18" ht="15.75" customHeight="1" x14ac:dyDescent="0.3">
      <c r="A6" s="1">
        <v>5</v>
      </c>
      <c r="B6" s="1" t="s">
        <v>38</v>
      </c>
      <c r="C6" s="5">
        <v>3521.48</v>
      </c>
      <c r="D6" s="1">
        <v>142</v>
      </c>
      <c r="E6" s="1">
        <v>1</v>
      </c>
      <c r="F6" s="1">
        <v>2016</v>
      </c>
      <c r="G6" s="1" t="s">
        <v>29</v>
      </c>
      <c r="H6" s="1" t="b">
        <v>1</v>
      </c>
      <c r="I6" s="8">
        <v>2.21</v>
      </c>
      <c r="J6" s="1">
        <v>1025</v>
      </c>
      <c r="K6" s="1" t="b">
        <v>0</v>
      </c>
      <c r="L6" s="1" t="s">
        <v>34</v>
      </c>
      <c r="M6" s="7">
        <v>44448</v>
      </c>
      <c r="N6" s="1">
        <v>500050</v>
      </c>
    </row>
    <row r="7" spans="1:18" ht="15.75" customHeight="1" x14ac:dyDescent="0.3">
      <c r="A7" s="1">
        <v>6</v>
      </c>
      <c r="B7" s="1" t="s">
        <v>40</v>
      </c>
      <c r="C7" s="5">
        <v>4280.16</v>
      </c>
      <c r="D7" s="1">
        <v>31</v>
      </c>
      <c r="E7" s="1">
        <v>5</v>
      </c>
      <c r="F7" s="1">
        <v>1975</v>
      </c>
      <c r="G7" s="1" t="s">
        <v>18</v>
      </c>
      <c r="H7" s="1" t="b">
        <v>1</v>
      </c>
      <c r="I7" s="8">
        <v>1.7</v>
      </c>
      <c r="J7" s="1">
        <v>825</v>
      </c>
      <c r="K7" s="1" t="b">
        <v>0</v>
      </c>
      <c r="L7" s="1" t="s">
        <v>34</v>
      </c>
      <c r="M7" s="7">
        <v>44964</v>
      </c>
      <c r="N7" s="1">
        <v>132684</v>
      </c>
    </row>
    <row r="8" spans="1:18" ht="15.75" customHeight="1" x14ac:dyDescent="0.3">
      <c r="A8" s="1">
        <v>7</v>
      </c>
      <c r="B8" s="1" t="s">
        <v>14</v>
      </c>
      <c r="C8" s="5">
        <v>4539</v>
      </c>
      <c r="D8" s="1">
        <v>30</v>
      </c>
      <c r="E8" s="1">
        <v>5</v>
      </c>
      <c r="F8" s="1">
        <v>1965</v>
      </c>
      <c r="G8" s="1" t="s">
        <v>18</v>
      </c>
      <c r="H8" s="1" t="b">
        <v>0</v>
      </c>
      <c r="I8" s="8">
        <v>3.54</v>
      </c>
      <c r="J8" s="1">
        <v>773</v>
      </c>
      <c r="K8" s="1" t="b">
        <v>1</v>
      </c>
      <c r="L8" s="1" t="s">
        <v>17</v>
      </c>
      <c r="M8" s="7">
        <v>43227</v>
      </c>
      <c r="N8" s="1">
        <v>136180</v>
      </c>
    </row>
    <row r="9" spans="1:18" ht="15.75" customHeight="1" x14ac:dyDescent="0.3">
      <c r="A9" s="1">
        <v>8</v>
      </c>
      <c r="B9" s="1" t="s">
        <v>14</v>
      </c>
      <c r="C9" s="5">
        <v>6057.12</v>
      </c>
      <c r="D9" s="1">
        <v>77</v>
      </c>
      <c r="E9" s="1">
        <v>1</v>
      </c>
      <c r="F9" s="1">
        <v>2000</v>
      </c>
      <c r="G9" s="1" t="s">
        <v>15</v>
      </c>
      <c r="H9" s="1" t="b">
        <v>0</v>
      </c>
      <c r="I9" s="8">
        <v>1.26</v>
      </c>
      <c r="J9" s="1">
        <v>327</v>
      </c>
      <c r="K9" s="1" t="b">
        <v>0</v>
      </c>
      <c r="L9" s="1" t="s">
        <v>17</v>
      </c>
      <c r="M9" s="7">
        <v>43704</v>
      </c>
      <c r="N9" s="1">
        <v>466398</v>
      </c>
    </row>
    <row r="10" spans="1:18" ht="15.75" customHeight="1" x14ac:dyDescent="0.3">
      <c r="A10" s="1">
        <v>9</v>
      </c>
      <c r="B10" s="1" t="s">
        <v>38</v>
      </c>
      <c r="C10" s="5">
        <v>5343.62</v>
      </c>
      <c r="D10" s="1">
        <v>41</v>
      </c>
      <c r="E10" s="1">
        <v>5</v>
      </c>
      <c r="F10" s="1">
        <v>2006</v>
      </c>
      <c r="G10" s="1" t="s">
        <v>18</v>
      </c>
      <c r="H10" s="1" t="b">
        <v>1</v>
      </c>
      <c r="I10" s="8">
        <v>2.4300000000000002</v>
      </c>
      <c r="J10" s="1">
        <v>377</v>
      </c>
      <c r="K10" s="1" t="b">
        <v>0</v>
      </c>
      <c r="L10" s="1" t="s">
        <v>54</v>
      </c>
      <c r="M10" s="7">
        <v>45029</v>
      </c>
      <c r="N10" s="1">
        <v>219088</v>
      </c>
    </row>
    <row r="11" spans="1:18" ht="15.75" customHeight="1" x14ac:dyDescent="0.3">
      <c r="A11" s="1">
        <v>10</v>
      </c>
      <c r="B11" s="1" t="s">
        <v>26</v>
      </c>
      <c r="C11" s="5">
        <v>3236.96</v>
      </c>
      <c r="D11" s="1">
        <v>98</v>
      </c>
      <c r="E11" s="1">
        <v>3</v>
      </c>
      <c r="F11" s="1">
        <v>1978</v>
      </c>
      <c r="G11" s="1" t="s">
        <v>15</v>
      </c>
      <c r="H11" s="1" t="b">
        <v>1</v>
      </c>
      <c r="I11" s="8">
        <v>14.14</v>
      </c>
      <c r="J11" s="1">
        <v>1539</v>
      </c>
      <c r="K11" s="1" t="b">
        <v>0</v>
      </c>
      <c r="L11" s="1" t="s">
        <v>54</v>
      </c>
      <c r="M11" s="7">
        <v>44114</v>
      </c>
      <c r="N11" s="1">
        <v>317222</v>
      </c>
    </row>
    <row r="12" spans="1:18" ht="15.75" customHeight="1" x14ac:dyDescent="0.3">
      <c r="A12" s="1">
        <v>11</v>
      </c>
      <c r="B12" s="1" t="s">
        <v>38</v>
      </c>
      <c r="C12" s="5">
        <v>5738.47</v>
      </c>
      <c r="D12" s="1">
        <v>66</v>
      </c>
      <c r="E12" s="1">
        <v>4</v>
      </c>
      <c r="F12" s="1">
        <v>2018</v>
      </c>
      <c r="G12" s="1" t="s">
        <v>18</v>
      </c>
      <c r="H12" s="1" t="b">
        <v>0</v>
      </c>
      <c r="I12" s="8">
        <v>11.15</v>
      </c>
      <c r="J12" s="1">
        <v>1709</v>
      </c>
      <c r="K12" s="1" t="b">
        <v>1</v>
      </c>
      <c r="L12" s="1" t="s">
        <v>54</v>
      </c>
      <c r="M12" s="7">
        <v>43151</v>
      </c>
      <c r="N12" s="1">
        <v>351389</v>
      </c>
    </row>
    <row r="13" spans="1:18" ht="15.75" customHeight="1" x14ac:dyDescent="0.3">
      <c r="A13" s="1">
        <v>12</v>
      </c>
      <c r="B13" s="1" t="s">
        <v>38</v>
      </c>
      <c r="C13" s="5">
        <v>4614.92</v>
      </c>
      <c r="D13" s="1">
        <v>61</v>
      </c>
      <c r="E13" s="1">
        <v>1</v>
      </c>
      <c r="F13" s="1">
        <v>1996</v>
      </c>
      <c r="G13" s="1" t="s">
        <v>29</v>
      </c>
      <c r="H13" s="1" t="b">
        <v>1</v>
      </c>
      <c r="I13" s="8">
        <v>15.25</v>
      </c>
      <c r="J13" s="1">
        <v>664</v>
      </c>
      <c r="K13" s="1" t="b">
        <v>0</v>
      </c>
      <c r="L13" s="1" t="s">
        <v>34</v>
      </c>
      <c r="M13" s="7">
        <v>44531</v>
      </c>
      <c r="N13" s="1">
        <v>281510</v>
      </c>
    </row>
    <row r="14" spans="1:18" ht="15.75" customHeight="1" x14ac:dyDescent="0.3">
      <c r="A14" s="1">
        <v>13</v>
      </c>
      <c r="B14" s="1" t="s">
        <v>38</v>
      </c>
      <c r="C14" s="5">
        <v>4323.08</v>
      </c>
      <c r="D14" s="1">
        <v>148</v>
      </c>
      <c r="E14" s="1">
        <v>4</v>
      </c>
      <c r="F14" s="1">
        <v>2011</v>
      </c>
      <c r="G14" s="1" t="s">
        <v>15</v>
      </c>
      <c r="H14" s="1" t="b">
        <v>0</v>
      </c>
      <c r="I14" s="8">
        <v>18.350000000000001</v>
      </c>
      <c r="J14" s="1">
        <v>965</v>
      </c>
      <c r="K14" s="1" t="b">
        <v>1</v>
      </c>
      <c r="L14" s="1" t="s">
        <v>34</v>
      </c>
      <c r="M14" s="7">
        <v>44893</v>
      </c>
      <c r="N14" s="1">
        <v>639815</v>
      </c>
    </row>
    <row r="15" spans="1:18" ht="15.75" customHeight="1" x14ac:dyDescent="0.3">
      <c r="A15" s="1">
        <v>14</v>
      </c>
      <c r="B15" s="1" t="s">
        <v>38</v>
      </c>
      <c r="C15" s="5">
        <v>5611.68</v>
      </c>
      <c r="D15" s="1">
        <v>38</v>
      </c>
      <c r="E15" s="1">
        <v>5</v>
      </c>
      <c r="F15" s="1">
        <v>2018</v>
      </c>
      <c r="G15" s="1" t="s">
        <v>15</v>
      </c>
      <c r="H15" s="1" t="b">
        <v>1</v>
      </c>
      <c r="I15" s="8">
        <v>12.12</v>
      </c>
      <c r="J15" s="1">
        <v>825</v>
      </c>
      <c r="K15" s="1" t="b">
        <v>0</v>
      </c>
      <c r="L15" s="1" t="s">
        <v>54</v>
      </c>
      <c r="M15" s="7">
        <v>44737</v>
      </c>
      <c r="N15" s="1">
        <v>213243</v>
      </c>
    </row>
    <row r="16" spans="1:18" ht="15.75" customHeight="1" x14ac:dyDescent="0.3">
      <c r="A16" s="1">
        <v>15</v>
      </c>
      <c r="B16" s="1" t="s">
        <v>40</v>
      </c>
      <c r="C16" s="5">
        <v>6031</v>
      </c>
      <c r="D16" s="1">
        <v>134</v>
      </c>
      <c r="E16" s="1">
        <v>5</v>
      </c>
      <c r="F16" s="1">
        <v>1965</v>
      </c>
      <c r="G16" s="1" t="s">
        <v>29</v>
      </c>
      <c r="H16" s="1" t="b">
        <v>1</v>
      </c>
      <c r="I16" s="8">
        <v>14.8</v>
      </c>
      <c r="J16" s="1">
        <v>998</v>
      </c>
      <c r="K16" s="1" t="b">
        <v>1</v>
      </c>
      <c r="L16" s="1" t="s">
        <v>34</v>
      </c>
      <c r="M16" s="7">
        <v>44746</v>
      </c>
      <c r="N16" s="1">
        <v>808154</v>
      </c>
    </row>
    <row r="17" spans="1:24" ht="15.75" customHeight="1" x14ac:dyDescent="0.3">
      <c r="A17" s="1">
        <v>16</v>
      </c>
      <c r="B17" s="1" t="s">
        <v>14</v>
      </c>
      <c r="C17" s="5">
        <v>5931.28</v>
      </c>
      <c r="D17" s="1">
        <v>128</v>
      </c>
      <c r="E17" s="1">
        <v>1</v>
      </c>
      <c r="F17" s="1">
        <v>1997</v>
      </c>
      <c r="G17" s="1" t="s">
        <v>15</v>
      </c>
      <c r="H17" s="1" t="b">
        <v>0</v>
      </c>
      <c r="I17" s="8">
        <v>15.38</v>
      </c>
      <c r="J17" s="1">
        <v>1635</v>
      </c>
      <c r="K17" s="1" t="b">
        <v>1</v>
      </c>
      <c r="L17" s="1" t="s">
        <v>54</v>
      </c>
      <c r="M17" s="7">
        <v>44306</v>
      </c>
      <c r="N17" s="1">
        <v>759203</v>
      </c>
    </row>
    <row r="18" spans="1:24" ht="15.75" customHeight="1" x14ac:dyDescent="0.3">
      <c r="A18" s="1">
        <v>17</v>
      </c>
      <c r="B18" s="1" t="s">
        <v>40</v>
      </c>
      <c r="C18" s="5">
        <v>4160.78</v>
      </c>
      <c r="D18" s="1">
        <v>48</v>
      </c>
      <c r="E18" s="1">
        <v>3</v>
      </c>
      <c r="F18" s="1">
        <v>1988</v>
      </c>
      <c r="G18" s="1" t="s">
        <v>15</v>
      </c>
      <c r="H18" s="1" t="b">
        <v>1</v>
      </c>
      <c r="I18" s="8">
        <v>8.18</v>
      </c>
      <c r="J18" s="1">
        <v>1182</v>
      </c>
      <c r="K18" s="1" t="b">
        <v>0</v>
      </c>
      <c r="L18" s="1" t="s">
        <v>17</v>
      </c>
      <c r="M18" s="7">
        <v>44955</v>
      </c>
      <c r="N18" s="1">
        <v>199717</v>
      </c>
    </row>
    <row r="19" spans="1:24" ht="15.75" customHeight="1" x14ac:dyDescent="0.3">
      <c r="A19" s="1">
        <v>18</v>
      </c>
      <c r="B19" s="1" t="s">
        <v>40</v>
      </c>
      <c r="C19" s="5">
        <v>4690.79</v>
      </c>
      <c r="D19" s="1">
        <v>77</v>
      </c>
      <c r="E19" s="1">
        <v>2</v>
      </c>
      <c r="F19" s="1">
        <v>1982</v>
      </c>
      <c r="G19" s="1" t="s">
        <v>18</v>
      </c>
      <c r="H19" s="1" t="b">
        <v>0</v>
      </c>
      <c r="I19" s="8">
        <v>5.58</v>
      </c>
      <c r="J19" s="1">
        <v>1330</v>
      </c>
      <c r="K19" s="1" t="b">
        <v>0</v>
      </c>
      <c r="L19" s="1" t="s">
        <v>54</v>
      </c>
      <c r="M19" s="7">
        <v>43667</v>
      </c>
      <c r="N19" s="1">
        <v>361190</v>
      </c>
    </row>
    <row r="20" spans="1:24" ht="15.75" customHeight="1" x14ac:dyDescent="0.3">
      <c r="A20" s="1">
        <v>19</v>
      </c>
      <c r="B20" s="1" t="s">
        <v>40</v>
      </c>
      <c r="C20" s="5">
        <v>5331.26</v>
      </c>
      <c r="D20" s="1">
        <v>109</v>
      </c>
      <c r="E20" s="1">
        <v>1</v>
      </c>
      <c r="F20" s="1">
        <v>1972</v>
      </c>
      <c r="G20" s="1" t="s">
        <v>15</v>
      </c>
      <c r="H20" s="1" t="b">
        <v>1</v>
      </c>
      <c r="I20" s="8">
        <v>4.9000000000000004</v>
      </c>
      <c r="J20" s="1">
        <v>1326</v>
      </c>
      <c r="K20" s="1" t="b">
        <v>1</v>
      </c>
      <c r="L20" s="1" t="s">
        <v>17</v>
      </c>
      <c r="M20" s="7">
        <v>44036</v>
      </c>
      <c r="N20" s="1">
        <v>581107</v>
      </c>
    </row>
    <row r="21" spans="1:24" ht="15.75" customHeight="1" x14ac:dyDescent="0.3">
      <c r="A21" s="1">
        <v>20</v>
      </c>
      <c r="B21" s="1" t="s">
        <v>38</v>
      </c>
      <c r="C21" s="5">
        <v>5975.55</v>
      </c>
      <c r="D21" s="1">
        <v>32</v>
      </c>
      <c r="E21" s="1">
        <v>2</v>
      </c>
      <c r="F21" s="1">
        <v>1959</v>
      </c>
      <c r="G21" s="1" t="s">
        <v>21</v>
      </c>
      <c r="H21" s="1" t="b">
        <v>1</v>
      </c>
      <c r="I21" s="8">
        <v>5.78</v>
      </c>
      <c r="J21" s="1">
        <v>1946</v>
      </c>
      <c r="K21" s="1" t="b">
        <v>1</v>
      </c>
      <c r="L21" s="1" t="s">
        <v>34</v>
      </c>
      <c r="M21" s="7">
        <v>45035</v>
      </c>
      <c r="N21" s="1">
        <v>191217</v>
      </c>
    </row>
    <row r="22" spans="1:24" ht="15.75" customHeight="1" x14ac:dyDescent="0.3">
      <c r="A22" s="1">
        <v>21</v>
      </c>
      <c r="B22" s="1" t="s">
        <v>26</v>
      </c>
      <c r="C22" s="5">
        <v>4520.83</v>
      </c>
      <c r="D22" s="1">
        <v>49</v>
      </c>
      <c r="E22" s="1">
        <v>2</v>
      </c>
      <c r="F22" s="1">
        <v>2018</v>
      </c>
      <c r="G22" s="1" t="s">
        <v>29</v>
      </c>
      <c r="H22" s="1" t="b">
        <v>1</v>
      </c>
      <c r="I22" s="8">
        <v>6.22</v>
      </c>
      <c r="J22" s="1">
        <v>1218</v>
      </c>
      <c r="K22" s="1" t="b">
        <v>0</v>
      </c>
      <c r="L22" s="1" t="s">
        <v>54</v>
      </c>
      <c r="M22" s="7">
        <v>44433</v>
      </c>
      <c r="N22" s="1">
        <v>221520</v>
      </c>
    </row>
    <row r="23" spans="1:24" ht="15.75" customHeight="1" x14ac:dyDescent="0.3">
      <c r="A23" s="1">
        <v>22</v>
      </c>
      <c r="B23" s="1" t="s">
        <v>14</v>
      </c>
      <c r="C23" s="5">
        <v>4814.34</v>
      </c>
      <c r="D23" s="1">
        <v>53</v>
      </c>
      <c r="E23" s="1">
        <v>3</v>
      </c>
      <c r="F23" s="1">
        <v>1983</v>
      </c>
      <c r="G23" s="1" t="s">
        <v>18</v>
      </c>
      <c r="H23" s="1" t="b">
        <v>0</v>
      </c>
      <c r="I23" s="8">
        <v>4.9400000000000004</v>
      </c>
      <c r="J23" s="1">
        <v>1049</v>
      </c>
      <c r="K23" s="1" t="b">
        <v>1</v>
      </c>
      <c r="L23" s="1" t="s">
        <v>34</v>
      </c>
      <c r="M23" s="7">
        <v>43302</v>
      </c>
      <c r="N23" s="1">
        <v>255160</v>
      </c>
    </row>
    <row r="24" spans="1:24" ht="15.75" customHeight="1" x14ac:dyDescent="0.3">
      <c r="A24" s="1">
        <v>23</v>
      </c>
      <c r="B24" s="1" t="s">
        <v>26</v>
      </c>
      <c r="C24" s="5">
        <v>3893.67</v>
      </c>
      <c r="D24" s="1">
        <v>83</v>
      </c>
      <c r="E24" s="1">
        <v>2</v>
      </c>
      <c r="F24" s="1">
        <v>2001</v>
      </c>
      <c r="G24" s="1" t="s">
        <v>18</v>
      </c>
      <c r="H24" s="1" t="b">
        <v>1</v>
      </c>
      <c r="I24" s="8">
        <v>17.690000000000001</v>
      </c>
      <c r="J24" s="1">
        <v>662</v>
      </c>
      <c r="K24" s="1" t="b">
        <v>0</v>
      </c>
      <c r="L24" s="1" t="s">
        <v>17</v>
      </c>
      <c r="M24" s="7">
        <v>43217</v>
      </c>
      <c r="N24" s="1">
        <v>323174</v>
      </c>
    </row>
    <row r="25" spans="1:24" ht="15.75" customHeight="1" x14ac:dyDescent="0.3">
      <c r="A25" s="1">
        <v>24</v>
      </c>
      <c r="B25" s="1" t="s">
        <v>40</v>
      </c>
      <c r="C25" s="5">
        <v>3803.79</v>
      </c>
      <c r="D25" s="1">
        <v>149</v>
      </c>
      <c r="E25" s="1">
        <v>2</v>
      </c>
      <c r="F25" s="1">
        <v>1959</v>
      </c>
      <c r="G25" s="1" t="s">
        <v>21</v>
      </c>
      <c r="H25" s="1" t="b">
        <v>1</v>
      </c>
      <c r="I25" s="8">
        <v>15.38</v>
      </c>
      <c r="J25" s="1">
        <v>1831</v>
      </c>
      <c r="K25" s="1" t="b">
        <v>0</v>
      </c>
      <c r="L25" s="1" t="s">
        <v>17</v>
      </c>
      <c r="M25" s="7">
        <v>44037</v>
      </c>
      <c r="N25" s="1">
        <v>566764</v>
      </c>
      <c r="P25" s="1"/>
      <c r="Q25" s="1"/>
      <c r="W25" s="1"/>
    </row>
    <row r="26" spans="1:24" ht="15.75" customHeight="1" x14ac:dyDescent="0.3">
      <c r="A26" s="1">
        <v>25</v>
      </c>
      <c r="B26" s="1" t="s">
        <v>40</v>
      </c>
      <c r="C26" s="5">
        <v>5812.53</v>
      </c>
      <c r="D26" s="1">
        <v>62</v>
      </c>
      <c r="E26" s="1">
        <v>3</v>
      </c>
      <c r="F26" s="1">
        <v>1968</v>
      </c>
      <c r="G26" s="1" t="s">
        <v>29</v>
      </c>
      <c r="H26" s="1" t="b">
        <v>1</v>
      </c>
      <c r="I26" s="8">
        <v>1.89</v>
      </c>
      <c r="J26" s="1">
        <v>1597</v>
      </c>
      <c r="K26" s="1" t="b">
        <v>0</v>
      </c>
      <c r="L26" s="1" t="s">
        <v>17</v>
      </c>
      <c r="M26" s="7">
        <v>43675</v>
      </c>
      <c r="N26" s="1">
        <v>360376</v>
      </c>
      <c r="W26" s="1"/>
      <c r="X26" s="1"/>
    </row>
    <row r="27" spans="1:24" ht="15.75" customHeight="1" x14ac:dyDescent="0.3">
      <c r="A27" s="1">
        <v>26</v>
      </c>
      <c r="B27" s="1" t="s">
        <v>26</v>
      </c>
      <c r="C27" s="5">
        <v>6356.24</v>
      </c>
      <c r="D27" s="1">
        <v>53</v>
      </c>
      <c r="E27" s="1">
        <v>2</v>
      </c>
      <c r="F27" s="1">
        <v>2007</v>
      </c>
      <c r="G27" s="1" t="s">
        <v>29</v>
      </c>
      <c r="H27" s="1" t="b">
        <v>1</v>
      </c>
      <c r="I27" s="8">
        <v>6.1</v>
      </c>
      <c r="J27" s="1">
        <v>1829</v>
      </c>
      <c r="K27" s="1" t="b">
        <v>0</v>
      </c>
      <c r="L27" s="1" t="s">
        <v>34</v>
      </c>
      <c r="M27" s="7">
        <v>43637</v>
      </c>
      <c r="N27" s="1">
        <v>336880</v>
      </c>
      <c r="W27" s="1"/>
      <c r="X27" s="1"/>
    </row>
    <row r="28" spans="1:24" ht="15.75" customHeight="1" x14ac:dyDescent="0.3">
      <c r="A28" s="1">
        <v>27</v>
      </c>
      <c r="B28" s="1" t="s">
        <v>26</v>
      </c>
      <c r="C28" s="5">
        <v>4927.99</v>
      </c>
      <c r="D28" s="1">
        <v>145</v>
      </c>
      <c r="E28" s="1">
        <v>2</v>
      </c>
      <c r="F28" s="1">
        <v>1950</v>
      </c>
      <c r="G28" s="1" t="s">
        <v>18</v>
      </c>
      <c r="H28" s="1" t="b">
        <v>0</v>
      </c>
      <c r="I28" s="8">
        <v>1.42</v>
      </c>
      <c r="J28" s="1">
        <v>1105</v>
      </c>
      <c r="K28" s="1" t="b">
        <v>1</v>
      </c>
      <c r="L28" s="1" t="s">
        <v>34</v>
      </c>
      <c r="M28" s="7">
        <v>44726</v>
      </c>
      <c r="N28" s="1">
        <v>714558</v>
      </c>
    </row>
    <row r="29" spans="1:24" ht="15.75" customHeight="1" x14ac:dyDescent="0.3">
      <c r="A29" s="1">
        <v>28</v>
      </c>
      <c r="B29" s="1" t="s">
        <v>26</v>
      </c>
      <c r="C29" s="5">
        <v>6003.53</v>
      </c>
      <c r="D29" s="1">
        <v>104</v>
      </c>
      <c r="E29" s="1">
        <v>2</v>
      </c>
      <c r="F29" s="1">
        <v>2018</v>
      </c>
      <c r="G29" s="1" t="s">
        <v>15</v>
      </c>
      <c r="H29" s="1" t="b">
        <v>0</v>
      </c>
      <c r="I29" s="8">
        <v>10.47</v>
      </c>
      <c r="J29" s="1">
        <v>1038</v>
      </c>
      <c r="K29" s="1" t="b">
        <v>0</v>
      </c>
      <c r="L29" s="1" t="s">
        <v>34</v>
      </c>
      <c r="M29" s="7">
        <v>45223</v>
      </c>
      <c r="N29" s="1">
        <v>624367</v>
      </c>
      <c r="W29" s="1"/>
    </row>
    <row r="30" spans="1:24" ht="15.75" customHeight="1" x14ac:dyDescent="0.3">
      <c r="A30" s="1">
        <v>29</v>
      </c>
      <c r="B30" s="1" t="s">
        <v>40</v>
      </c>
      <c r="C30" s="5">
        <v>5361.64</v>
      </c>
      <c r="D30" s="1">
        <v>142</v>
      </c>
      <c r="E30" s="1">
        <v>1</v>
      </c>
      <c r="F30" s="1">
        <v>1953</v>
      </c>
      <c r="G30" s="1" t="s">
        <v>18</v>
      </c>
      <c r="H30" s="1" t="b">
        <v>1</v>
      </c>
      <c r="I30" s="8">
        <v>10.050000000000001</v>
      </c>
      <c r="J30" s="1">
        <v>1338</v>
      </c>
      <c r="K30" s="1" t="b">
        <v>1</v>
      </c>
      <c r="L30" s="1" t="s">
        <v>34</v>
      </c>
      <c r="M30" s="7">
        <v>43486</v>
      </c>
      <c r="N30" s="1">
        <v>761352</v>
      </c>
      <c r="W30" s="1"/>
    </row>
    <row r="31" spans="1:24" ht="15.75" customHeight="1" x14ac:dyDescent="0.3">
      <c r="A31" s="1">
        <v>30</v>
      </c>
      <c r="B31" s="1" t="s">
        <v>40</v>
      </c>
      <c r="C31" s="5">
        <v>4354.88</v>
      </c>
      <c r="D31" s="1">
        <v>101</v>
      </c>
      <c r="E31" s="1">
        <v>1</v>
      </c>
      <c r="F31" s="1">
        <v>1965</v>
      </c>
      <c r="G31" s="1" t="s">
        <v>29</v>
      </c>
      <c r="H31" s="1" t="b">
        <v>0</v>
      </c>
      <c r="I31" s="8">
        <v>16.8</v>
      </c>
      <c r="J31" s="1">
        <v>1515</v>
      </c>
      <c r="K31" s="1" t="b">
        <v>0</v>
      </c>
      <c r="L31" s="1" t="s">
        <v>17</v>
      </c>
      <c r="M31" s="7">
        <v>43575</v>
      </c>
      <c r="N31" s="1">
        <v>439842</v>
      </c>
      <c r="W31" s="1"/>
    </row>
    <row r="32" spans="1:24" ht="15.75" customHeight="1" x14ac:dyDescent="0.3">
      <c r="A32" s="1">
        <v>31</v>
      </c>
      <c r="B32" s="1" t="s">
        <v>14</v>
      </c>
      <c r="C32" s="5">
        <v>5361.4</v>
      </c>
      <c r="D32" s="1">
        <v>65</v>
      </c>
      <c r="E32" s="1">
        <v>1</v>
      </c>
      <c r="F32" s="1">
        <v>1973</v>
      </c>
      <c r="G32" s="1" t="s">
        <v>21</v>
      </c>
      <c r="H32" s="1" t="b">
        <v>1</v>
      </c>
      <c r="I32" s="8">
        <v>6.85</v>
      </c>
      <c r="J32" s="1">
        <v>1954</v>
      </c>
      <c r="K32" s="1" t="b">
        <v>1</v>
      </c>
      <c r="L32" s="1" t="s">
        <v>17</v>
      </c>
      <c r="M32" s="7">
        <v>43518</v>
      </c>
      <c r="N32" s="1">
        <v>348491</v>
      </c>
    </row>
    <row r="33" spans="1:24" ht="15.75" customHeight="1" x14ac:dyDescent="0.3">
      <c r="A33" s="1">
        <v>32</v>
      </c>
      <c r="B33" s="1" t="s">
        <v>14</v>
      </c>
      <c r="C33" s="5">
        <v>6538.04</v>
      </c>
      <c r="D33" s="1">
        <v>67</v>
      </c>
      <c r="E33" s="1">
        <v>3</v>
      </c>
      <c r="F33" s="1">
        <v>1951</v>
      </c>
      <c r="G33" s="1" t="s">
        <v>18</v>
      </c>
      <c r="H33" s="1" t="b">
        <v>1</v>
      </c>
      <c r="I33" s="8">
        <v>16.510000000000002</v>
      </c>
      <c r="J33" s="1">
        <v>784</v>
      </c>
      <c r="K33" s="1" t="b">
        <v>0</v>
      </c>
      <c r="L33" s="1" t="s">
        <v>54</v>
      </c>
      <c r="M33" s="7">
        <v>44039</v>
      </c>
      <c r="N33" s="1">
        <v>438048</v>
      </c>
    </row>
    <row r="34" spans="1:24" ht="15.75" customHeight="1" x14ac:dyDescent="0.3">
      <c r="A34" s="1">
        <v>33</v>
      </c>
      <c r="B34" s="1" t="s">
        <v>40</v>
      </c>
      <c r="C34" s="5">
        <v>4964.17</v>
      </c>
      <c r="D34" s="1">
        <v>133</v>
      </c>
      <c r="E34" s="1">
        <v>5</v>
      </c>
      <c r="F34" s="1">
        <v>1981</v>
      </c>
      <c r="G34" s="1" t="s">
        <v>29</v>
      </c>
      <c r="H34" s="1" t="b">
        <v>1</v>
      </c>
      <c r="I34" s="8">
        <v>19.39</v>
      </c>
      <c r="J34" s="1">
        <v>327</v>
      </c>
      <c r="K34" s="1" t="b">
        <v>1</v>
      </c>
      <c r="L34" s="1" t="s">
        <v>54</v>
      </c>
      <c r="M34" s="7">
        <v>44055</v>
      </c>
      <c r="N34" s="1">
        <v>660234</v>
      </c>
      <c r="W34" s="1"/>
      <c r="X34" s="1"/>
    </row>
    <row r="35" spans="1:24" ht="15.75" customHeight="1" x14ac:dyDescent="0.3">
      <c r="A35" s="1">
        <v>34</v>
      </c>
      <c r="B35" s="1" t="s">
        <v>26</v>
      </c>
      <c r="C35" s="5">
        <v>6564.64</v>
      </c>
      <c r="D35" s="1">
        <v>113</v>
      </c>
      <c r="E35" s="1">
        <v>2</v>
      </c>
      <c r="F35" s="1">
        <v>1973</v>
      </c>
      <c r="G35" s="1" t="s">
        <v>18</v>
      </c>
      <c r="H35" s="1" t="b">
        <v>0</v>
      </c>
      <c r="I35" s="8">
        <v>2.68</v>
      </c>
      <c r="J35" s="1">
        <v>1013</v>
      </c>
      <c r="K35" s="1" t="b">
        <v>1</v>
      </c>
      <c r="L35" s="1" t="s">
        <v>34</v>
      </c>
      <c r="M35" s="7">
        <v>43976</v>
      </c>
      <c r="N35" s="1">
        <v>741804</v>
      </c>
    </row>
    <row r="36" spans="1:24" ht="15.75" customHeight="1" x14ac:dyDescent="0.3">
      <c r="A36" s="1">
        <v>35</v>
      </c>
      <c r="B36" s="1" t="s">
        <v>26</v>
      </c>
      <c r="C36" s="5">
        <v>2380.25</v>
      </c>
      <c r="D36" s="1">
        <v>128</v>
      </c>
      <c r="E36" s="1">
        <v>2</v>
      </c>
      <c r="F36" s="1">
        <v>1961</v>
      </c>
      <c r="G36" s="1" t="s">
        <v>15</v>
      </c>
      <c r="H36" s="1" t="b">
        <v>0</v>
      </c>
      <c r="I36" s="8">
        <v>16.04</v>
      </c>
      <c r="J36" s="1">
        <v>1362</v>
      </c>
      <c r="K36" s="1" t="b">
        <v>0</v>
      </c>
      <c r="L36" s="1" t="s">
        <v>17</v>
      </c>
      <c r="M36" s="7">
        <v>43863</v>
      </c>
      <c r="N36" s="1">
        <v>304672</v>
      </c>
    </row>
    <row r="37" spans="1:24" ht="15.75" customHeight="1" x14ac:dyDescent="0.3">
      <c r="A37" s="1">
        <v>36</v>
      </c>
      <c r="B37" s="1" t="s">
        <v>14</v>
      </c>
      <c r="C37" s="5">
        <v>5821.9</v>
      </c>
      <c r="D37" s="1">
        <v>141</v>
      </c>
      <c r="E37" s="1">
        <v>3</v>
      </c>
      <c r="F37" s="1">
        <v>1999</v>
      </c>
      <c r="G37" s="1" t="s">
        <v>18</v>
      </c>
      <c r="H37" s="1" t="b">
        <v>0</v>
      </c>
      <c r="I37" s="8">
        <v>12.21</v>
      </c>
      <c r="J37" s="1">
        <v>1596</v>
      </c>
      <c r="K37" s="1" t="b">
        <v>0</v>
      </c>
      <c r="L37" s="1" t="s">
        <v>17</v>
      </c>
      <c r="M37" s="7">
        <v>44303</v>
      </c>
      <c r="N37" s="1">
        <v>820887</v>
      </c>
    </row>
    <row r="38" spans="1:24" ht="15.75" customHeight="1" x14ac:dyDescent="0.3">
      <c r="A38" s="1">
        <v>37</v>
      </c>
      <c r="B38" s="1" t="s">
        <v>40</v>
      </c>
      <c r="C38" s="5">
        <v>5087.05</v>
      </c>
      <c r="D38" s="1">
        <v>118</v>
      </c>
      <c r="E38" s="1">
        <v>2</v>
      </c>
      <c r="F38" s="1">
        <v>1984</v>
      </c>
      <c r="G38" s="1" t="s">
        <v>18</v>
      </c>
      <c r="H38" s="1" t="b">
        <v>0</v>
      </c>
      <c r="I38" s="8">
        <v>10.119999999999999</v>
      </c>
      <c r="J38" s="1">
        <v>1554</v>
      </c>
      <c r="K38" s="1" t="b">
        <v>0</v>
      </c>
      <c r="L38" s="1" t="s">
        <v>17</v>
      </c>
      <c r="M38" s="7">
        <v>44306</v>
      </c>
      <c r="N38" s="1">
        <v>600271</v>
      </c>
    </row>
    <row r="39" spans="1:24" ht="15.75" customHeight="1" x14ac:dyDescent="0.3">
      <c r="A39" s="1">
        <v>38</v>
      </c>
      <c r="B39" s="1" t="s">
        <v>14</v>
      </c>
      <c r="C39" s="5">
        <v>4700.99</v>
      </c>
      <c r="D39" s="1">
        <v>128</v>
      </c>
      <c r="E39" s="1">
        <v>1</v>
      </c>
      <c r="F39" s="1">
        <v>1982</v>
      </c>
      <c r="G39" s="1" t="s">
        <v>29</v>
      </c>
      <c r="H39" s="1" t="b">
        <v>0</v>
      </c>
      <c r="I39" s="8">
        <v>8.99</v>
      </c>
      <c r="J39" s="1">
        <v>385</v>
      </c>
      <c r="K39" s="1" t="b">
        <v>0</v>
      </c>
      <c r="L39" s="1" t="s">
        <v>54</v>
      </c>
      <c r="M39" s="7">
        <v>43764</v>
      </c>
      <c r="N39" s="1">
        <v>601726</v>
      </c>
    </row>
    <row r="40" spans="1:24" ht="15.75" customHeight="1" x14ac:dyDescent="0.3">
      <c r="A40" s="1">
        <v>39</v>
      </c>
      <c r="B40" s="1" t="s">
        <v>14</v>
      </c>
      <c r="C40" s="5">
        <v>5091.76</v>
      </c>
      <c r="D40" s="1">
        <v>54</v>
      </c>
      <c r="E40" s="1">
        <v>5</v>
      </c>
      <c r="F40" s="1">
        <v>1982</v>
      </c>
      <c r="G40" s="1" t="s">
        <v>29</v>
      </c>
      <c r="H40" s="1" t="b">
        <v>0</v>
      </c>
      <c r="I40" s="8">
        <v>15.91</v>
      </c>
      <c r="J40" s="1">
        <v>1797</v>
      </c>
      <c r="K40" s="1" t="b">
        <v>1</v>
      </c>
      <c r="L40" s="1" t="s">
        <v>54</v>
      </c>
      <c r="M40" s="7">
        <v>43125</v>
      </c>
      <c r="N40" s="1">
        <v>274955</v>
      </c>
    </row>
    <row r="41" spans="1:24" ht="15.75" customHeight="1" x14ac:dyDescent="0.3">
      <c r="A41" s="1">
        <v>40</v>
      </c>
      <c r="B41" s="1" t="s">
        <v>38</v>
      </c>
      <c r="C41" s="5">
        <v>3012.43</v>
      </c>
      <c r="D41" s="1">
        <v>122</v>
      </c>
      <c r="E41" s="1">
        <v>4</v>
      </c>
      <c r="F41" s="1">
        <v>2010</v>
      </c>
      <c r="G41" s="1" t="s">
        <v>29</v>
      </c>
      <c r="H41" s="1" t="b">
        <v>0</v>
      </c>
      <c r="I41" s="8">
        <v>13.15</v>
      </c>
      <c r="J41" s="1">
        <v>425</v>
      </c>
      <c r="K41" s="1" t="b">
        <v>0</v>
      </c>
      <c r="L41" s="1" t="s">
        <v>17</v>
      </c>
      <c r="M41" s="7">
        <v>45091</v>
      </c>
      <c r="N41" s="1">
        <v>367516</v>
      </c>
    </row>
    <row r="42" spans="1:24" ht="15.75" customHeight="1" x14ac:dyDescent="0.3">
      <c r="A42" s="1">
        <v>41</v>
      </c>
      <c r="B42" s="1" t="s">
        <v>38</v>
      </c>
      <c r="C42" s="5">
        <v>4780.33</v>
      </c>
      <c r="D42" s="1">
        <v>47</v>
      </c>
      <c r="E42" s="1">
        <v>2</v>
      </c>
      <c r="F42" s="1">
        <v>2000</v>
      </c>
      <c r="G42" s="1" t="s">
        <v>18</v>
      </c>
      <c r="H42" s="1" t="b">
        <v>0</v>
      </c>
      <c r="I42" s="8">
        <v>16.3</v>
      </c>
      <c r="J42" s="1">
        <v>1111</v>
      </c>
      <c r="K42" s="1" t="b">
        <v>1</v>
      </c>
      <c r="L42" s="1" t="s">
        <v>17</v>
      </c>
      <c r="M42" s="7">
        <v>44304</v>
      </c>
      <c r="N42" s="1">
        <v>224675</v>
      </c>
    </row>
    <row r="43" spans="1:24" ht="15.75" customHeight="1" x14ac:dyDescent="0.3">
      <c r="A43" s="1">
        <v>42</v>
      </c>
      <c r="B43" s="1" t="s">
        <v>38</v>
      </c>
      <c r="C43" s="5">
        <v>5357.11</v>
      </c>
      <c r="D43" s="1">
        <v>139</v>
      </c>
      <c r="E43" s="1">
        <v>1</v>
      </c>
      <c r="F43" s="1">
        <v>1992</v>
      </c>
      <c r="G43" s="1" t="s">
        <v>15</v>
      </c>
      <c r="H43" s="1" t="b">
        <v>0</v>
      </c>
      <c r="I43" s="8">
        <v>18.16</v>
      </c>
      <c r="J43" s="1">
        <v>836</v>
      </c>
      <c r="K43" s="1" t="b">
        <v>1</v>
      </c>
      <c r="L43" s="1" t="s">
        <v>17</v>
      </c>
      <c r="M43" s="7">
        <v>43810</v>
      </c>
      <c r="N43" s="1">
        <v>744638</v>
      </c>
    </row>
    <row r="44" spans="1:24" ht="15.75" customHeight="1" x14ac:dyDescent="0.3">
      <c r="A44" s="1">
        <v>43</v>
      </c>
      <c r="B44" s="1" t="s">
        <v>26</v>
      </c>
      <c r="C44" s="5">
        <v>6477.89</v>
      </c>
      <c r="D44" s="1">
        <v>111</v>
      </c>
      <c r="E44" s="1">
        <v>4</v>
      </c>
      <c r="F44" s="1">
        <v>1961</v>
      </c>
      <c r="G44" s="1" t="s">
        <v>21</v>
      </c>
      <c r="H44" s="1" t="b">
        <v>1</v>
      </c>
      <c r="I44" s="8">
        <v>12.73</v>
      </c>
      <c r="J44" s="1">
        <v>444</v>
      </c>
      <c r="K44" s="1" t="b">
        <v>0</v>
      </c>
      <c r="L44" s="1" t="s">
        <v>54</v>
      </c>
      <c r="M44" s="7">
        <v>44980</v>
      </c>
      <c r="N44" s="1">
        <v>719045</v>
      </c>
    </row>
    <row r="45" spans="1:24" ht="15.75" customHeight="1" x14ac:dyDescent="0.3">
      <c r="A45" s="1">
        <v>44</v>
      </c>
      <c r="B45" s="1" t="s">
        <v>40</v>
      </c>
      <c r="C45" s="5">
        <v>4481.7299999999996</v>
      </c>
      <c r="D45" s="1">
        <v>95</v>
      </c>
      <c r="E45" s="1">
        <v>5</v>
      </c>
      <c r="F45" s="1">
        <v>2016</v>
      </c>
      <c r="G45" s="1" t="s">
        <v>21</v>
      </c>
      <c r="H45" s="1" t="b">
        <v>0</v>
      </c>
      <c r="I45" s="8">
        <v>19.63</v>
      </c>
      <c r="J45" s="1">
        <v>1848</v>
      </c>
      <c r="K45" s="1" t="b">
        <v>1</v>
      </c>
      <c r="L45" s="1" t="s">
        <v>17</v>
      </c>
      <c r="M45" s="7">
        <v>44285</v>
      </c>
      <c r="N45" s="1">
        <v>425764</v>
      </c>
    </row>
    <row r="46" spans="1:24" ht="15.75" customHeight="1" x14ac:dyDescent="0.3">
      <c r="A46" s="1">
        <v>45</v>
      </c>
      <c r="B46" s="1" t="s">
        <v>40</v>
      </c>
      <c r="C46" s="5">
        <v>4191.51</v>
      </c>
      <c r="D46" s="1">
        <v>83</v>
      </c>
      <c r="E46" s="1">
        <v>4</v>
      </c>
      <c r="F46" s="1">
        <v>2014</v>
      </c>
      <c r="G46" s="1" t="s">
        <v>29</v>
      </c>
      <c r="H46" s="1" t="b">
        <v>0</v>
      </c>
      <c r="I46" s="8">
        <v>12.55</v>
      </c>
      <c r="J46" s="1">
        <v>1535</v>
      </c>
      <c r="K46" s="1" t="b">
        <v>1</v>
      </c>
      <c r="L46" s="1" t="s">
        <v>17</v>
      </c>
      <c r="M46" s="7">
        <v>43385</v>
      </c>
      <c r="N46" s="1">
        <v>347895</v>
      </c>
    </row>
    <row r="47" spans="1:24" ht="15.75" customHeight="1" x14ac:dyDescent="0.3">
      <c r="A47" s="1">
        <v>46</v>
      </c>
      <c r="B47" s="1" t="s">
        <v>40</v>
      </c>
      <c r="C47" s="5">
        <v>4498.24</v>
      </c>
      <c r="D47" s="1">
        <v>64</v>
      </c>
      <c r="E47" s="1">
        <v>1</v>
      </c>
      <c r="F47" s="1">
        <v>1982</v>
      </c>
      <c r="G47" s="1" t="s">
        <v>29</v>
      </c>
      <c r="H47" s="1" t="b">
        <v>0</v>
      </c>
      <c r="I47" s="8">
        <v>13.1</v>
      </c>
      <c r="J47" s="1">
        <v>324</v>
      </c>
      <c r="K47" s="1" t="b">
        <v>1</v>
      </c>
      <c r="L47" s="1" t="s">
        <v>34</v>
      </c>
      <c r="M47" s="7">
        <v>43163</v>
      </c>
      <c r="N47" s="1">
        <v>287887</v>
      </c>
    </row>
    <row r="48" spans="1:24" ht="15.75" customHeight="1" x14ac:dyDescent="0.3">
      <c r="A48" s="1">
        <v>47</v>
      </c>
      <c r="B48" s="1" t="s">
        <v>40</v>
      </c>
      <c r="C48" s="5">
        <v>5915.4</v>
      </c>
      <c r="D48" s="1">
        <v>109</v>
      </c>
      <c r="E48" s="1">
        <v>4</v>
      </c>
      <c r="F48" s="1">
        <v>1989</v>
      </c>
      <c r="G48" s="1" t="s">
        <v>18</v>
      </c>
      <c r="H48" s="1" t="b">
        <v>0</v>
      </c>
      <c r="I48" s="8">
        <v>11.54</v>
      </c>
      <c r="J48" s="1">
        <v>1903</v>
      </c>
      <c r="K48" s="1" t="b">
        <v>1</v>
      </c>
      <c r="L48" s="1" t="s">
        <v>34</v>
      </c>
      <c r="M48" s="7">
        <v>44103</v>
      </c>
      <c r="N48" s="1">
        <v>644778</v>
      </c>
    </row>
    <row r="49" spans="1:14" ht="15.75" customHeight="1" x14ac:dyDescent="0.3">
      <c r="A49" s="1">
        <v>48</v>
      </c>
      <c r="B49" s="1" t="s">
        <v>38</v>
      </c>
      <c r="C49" s="5">
        <v>5328.75</v>
      </c>
      <c r="D49" s="1">
        <v>90</v>
      </c>
      <c r="E49" s="1">
        <v>3</v>
      </c>
      <c r="F49" s="1">
        <v>1992</v>
      </c>
      <c r="G49" s="1" t="s">
        <v>21</v>
      </c>
      <c r="H49" s="1" t="b">
        <v>0</v>
      </c>
      <c r="I49" s="8">
        <v>2.73</v>
      </c>
      <c r="J49" s="1">
        <v>1717</v>
      </c>
      <c r="K49" s="1" t="b">
        <v>0</v>
      </c>
      <c r="L49" s="1" t="s">
        <v>54</v>
      </c>
      <c r="M49" s="7">
        <v>43762</v>
      </c>
      <c r="N49" s="1">
        <v>479587</v>
      </c>
    </row>
    <row r="50" spans="1:14" ht="15.75" customHeight="1" x14ac:dyDescent="0.3">
      <c r="A50" s="1">
        <v>49</v>
      </c>
      <c r="B50" s="1" t="s">
        <v>26</v>
      </c>
      <c r="C50" s="5">
        <v>4470.24</v>
      </c>
      <c r="D50" s="1">
        <v>70</v>
      </c>
      <c r="E50" s="1">
        <v>4</v>
      </c>
      <c r="F50" s="1">
        <v>1993</v>
      </c>
      <c r="G50" s="1" t="s">
        <v>29</v>
      </c>
      <c r="H50" s="1" t="b">
        <v>0</v>
      </c>
      <c r="I50" s="8">
        <v>14.8</v>
      </c>
      <c r="J50" s="1">
        <v>366</v>
      </c>
      <c r="K50" s="1" t="b">
        <v>0</v>
      </c>
      <c r="L50" s="1" t="s">
        <v>17</v>
      </c>
      <c r="M50" s="7">
        <v>44593</v>
      </c>
      <c r="N50" s="1">
        <v>312916</v>
      </c>
    </row>
    <row r="51" spans="1:14" ht="15.75" customHeight="1" x14ac:dyDescent="0.3">
      <c r="A51" s="1">
        <v>50</v>
      </c>
      <c r="B51" s="1" t="s">
        <v>26</v>
      </c>
      <c r="C51" s="5">
        <v>5513.27</v>
      </c>
      <c r="D51" s="1">
        <v>129</v>
      </c>
      <c r="E51" s="1">
        <v>2</v>
      </c>
      <c r="F51" s="1">
        <v>1978</v>
      </c>
      <c r="G51" s="1" t="s">
        <v>15</v>
      </c>
      <c r="H51" s="1" t="b">
        <v>0</v>
      </c>
      <c r="I51" s="8">
        <v>11.4</v>
      </c>
      <c r="J51" s="1">
        <v>532</v>
      </c>
      <c r="K51" s="1" t="b">
        <v>0</v>
      </c>
      <c r="L51" s="1" t="s">
        <v>17</v>
      </c>
      <c r="M51" s="7">
        <v>44067</v>
      </c>
      <c r="N51" s="1">
        <v>711211</v>
      </c>
    </row>
    <row r="52" spans="1:14" ht="15.75" customHeight="1" x14ac:dyDescent="0.3">
      <c r="A52" s="1">
        <v>51</v>
      </c>
      <c r="B52" s="1" t="s">
        <v>38</v>
      </c>
      <c r="C52" s="5">
        <v>5097.08</v>
      </c>
      <c r="D52" s="1">
        <v>62</v>
      </c>
      <c r="E52" s="1">
        <v>2</v>
      </c>
      <c r="F52" s="1">
        <v>1962</v>
      </c>
      <c r="G52" s="1" t="s">
        <v>15</v>
      </c>
      <c r="H52" s="1" t="b">
        <v>0</v>
      </c>
      <c r="I52" s="8">
        <v>9.57</v>
      </c>
      <c r="J52" s="1">
        <v>408</v>
      </c>
      <c r="K52" s="1" t="b">
        <v>0</v>
      </c>
      <c r="L52" s="1" t="s">
        <v>34</v>
      </c>
      <c r="M52" s="7">
        <v>43949</v>
      </c>
      <c r="N52" s="1">
        <v>316018</v>
      </c>
    </row>
    <row r="53" spans="1:14" ht="15.75" customHeight="1" x14ac:dyDescent="0.3">
      <c r="A53" s="1">
        <v>52</v>
      </c>
      <c r="B53" s="1" t="s">
        <v>26</v>
      </c>
      <c r="C53" s="5">
        <v>5968.64</v>
      </c>
      <c r="D53" s="1">
        <v>97</v>
      </c>
      <c r="E53" s="1">
        <v>3</v>
      </c>
      <c r="F53" s="1">
        <v>1961</v>
      </c>
      <c r="G53" s="1" t="s">
        <v>29</v>
      </c>
      <c r="H53" s="1" t="b">
        <v>0</v>
      </c>
      <c r="I53" s="8">
        <v>18.3</v>
      </c>
      <c r="J53" s="1">
        <v>1469</v>
      </c>
      <c r="K53" s="1" t="b">
        <v>1</v>
      </c>
      <c r="L53" s="1" t="s">
        <v>54</v>
      </c>
      <c r="M53" s="7">
        <v>44208</v>
      </c>
      <c r="N53" s="1">
        <v>578958</v>
      </c>
    </row>
    <row r="54" spans="1:14" ht="15.75" customHeight="1" x14ac:dyDescent="0.3">
      <c r="A54" s="1">
        <v>53</v>
      </c>
      <c r="B54" s="1" t="s">
        <v>38</v>
      </c>
      <c r="C54" s="5">
        <v>4297.95</v>
      </c>
      <c r="D54" s="1">
        <v>62</v>
      </c>
      <c r="E54" s="1">
        <v>1</v>
      </c>
      <c r="F54" s="1">
        <v>1995</v>
      </c>
      <c r="G54" s="1" t="s">
        <v>29</v>
      </c>
      <c r="H54" s="1" t="b">
        <v>0</v>
      </c>
      <c r="I54" s="8">
        <v>6.66</v>
      </c>
      <c r="J54" s="1">
        <v>410</v>
      </c>
      <c r="K54" s="1" t="b">
        <v>1</v>
      </c>
      <c r="L54" s="1" t="s">
        <v>34</v>
      </c>
      <c r="M54" s="7">
        <v>43789</v>
      </c>
      <c r="N54" s="1">
        <v>266472</v>
      </c>
    </row>
    <row r="55" spans="1:14" ht="15.75" customHeight="1" x14ac:dyDescent="0.3">
      <c r="A55" s="1">
        <v>54</v>
      </c>
      <c r="B55" s="1" t="s">
        <v>40</v>
      </c>
      <c r="C55" s="5">
        <v>4672.34</v>
      </c>
      <c r="D55" s="1">
        <v>43</v>
      </c>
      <c r="E55" s="1">
        <v>2</v>
      </c>
      <c r="F55" s="1">
        <v>1951</v>
      </c>
      <c r="G55" s="1" t="s">
        <v>21</v>
      </c>
      <c r="H55" s="1" t="b">
        <v>0</v>
      </c>
      <c r="I55" s="8">
        <v>10.95</v>
      </c>
      <c r="J55" s="1">
        <v>527</v>
      </c>
      <c r="K55" s="1" t="b">
        <v>0</v>
      </c>
      <c r="L55" s="1" t="s">
        <v>34</v>
      </c>
      <c r="M55" s="7">
        <v>43248</v>
      </c>
      <c r="N55" s="1">
        <v>200910</v>
      </c>
    </row>
    <row r="56" spans="1:14" ht="15.75" customHeight="1" x14ac:dyDescent="0.3">
      <c r="A56" s="1">
        <v>55</v>
      </c>
      <c r="B56" s="1" t="s">
        <v>38</v>
      </c>
      <c r="C56" s="5">
        <v>4607.8900000000003</v>
      </c>
      <c r="D56" s="1">
        <v>50</v>
      </c>
      <c r="E56" s="1">
        <v>5</v>
      </c>
      <c r="F56" s="1">
        <v>1984</v>
      </c>
      <c r="G56" s="1" t="s">
        <v>21</v>
      </c>
      <c r="H56" s="1" t="b">
        <v>1</v>
      </c>
      <c r="I56" s="8">
        <v>14.26</v>
      </c>
      <c r="J56" s="1">
        <v>410</v>
      </c>
      <c r="K56" s="1" t="b">
        <v>0</v>
      </c>
      <c r="L56" s="1" t="s">
        <v>34</v>
      </c>
      <c r="M56" s="7">
        <v>43442</v>
      </c>
      <c r="N56" s="1">
        <v>230394</v>
      </c>
    </row>
    <row r="57" spans="1:14" ht="15.75" customHeight="1" x14ac:dyDescent="0.3">
      <c r="A57" s="1">
        <v>56</v>
      </c>
      <c r="B57" s="1" t="s">
        <v>40</v>
      </c>
      <c r="C57" s="5">
        <v>3536.49</v>
      </c>
      <c r="D57" s="1">
        <v>77</v>
      </c>
      <c r="E57" s="1">
        <v>2</v>
      </c>
      <c r="F57" s="1">
        <v>1957</v>
      </c>
      <c r="G57" s="1" t="s">
        <v>18</v>
      </c>
      <c r="H57" s="1" t="b">
        <v>1</v>
      </c>
      <c r="I57" s="8">
        <v>16.13</v>
      </c>
      <c r="J57" s="1">
        <v>1793</v>
      </c>
      <c r="K57" s="1" t="b">
        <v>0</v>
      </c>
      <c r="L57" s="1" t="s">
        <v>34</v>
      </c>
      <c r="M57" s="7">
        <v>44187</v>
      </c>
      <c r="N57" s="1">
        <v>272309</v>
      </c>
    </row>
    <row r="58" spans="1:14" ht="15.75" customHeight="1" x14ac:dyDescent="0.3">
      <c r="A58" s="1">
        <v>57</v>
      </c>
      <c r="B58" s="1" t="s">
        <v>40</v>
      </c>
      <c r="C58" s="5">
        <v>5296.12</v>
      </c>
      <c r="D58" s="1">
        <v>49</v>
      </c>
      <c r="E58" s="1">
        <v>2</v>
      </c>
      <c r="F58" s="1">
        <v>1975</v>
      </c>
      <c r="G58" s="1" t="s">
        <v>21</v>
      </c>
      <c r="H58" s="1" t="b">
        <v>0</v>
      </c>
      <c r="I58" s="8">
        <v>9.73</v>
      </c>
      <c r="J58" s="1">
        <v>333</v>
      </c>
      <c r="K58" s="1" t="b">
        <v>1</v>
      </c>
      <c r="L58" s="1" t="s">
        <v>17</v>
      </c>
      <c r="M58" s="7">
        <v>44825</v>
      </c>
      <c r="N58" s="1">
        <v>259509</v>
      </c>
    </row>
    <row r="59" spans="1:14" ht="15.75" customHeight="1" x14ac:dyDescent="0.3">
      <c r="A59" s="1">
        <v>58</v>
      </c>
      <c r="B59" s="1" t="s">
        <v>14</v>
      </c>
      <c r="C59" s="5">
        <v>5261.06</v>
      </c>
      <c r="D59" s="1">
        <v>149</v>
      </c>
      <c r="E59" s="1">
        <v>1</v>
      </c>
      <c r="F59" s="1">
        <v>1983</v>
      </c>
      <c r="G59" s="1" t="s">
        <v>15</v>
      </c>
      <c r="H59" s="1" t="b">
        <v>0</v>
      </c>
      <c r="I59" s="8">
        <v>17</v>
      </c>
      <c r="J59" s="1">
        <v>922</v>
      </c>
      <c r="K59" s="1" t="b">
        <v>0</v>
      </c>
      <c r="L59" s="1" t="s">
        <v>17</v>
      </c>
      <c r="M59" s="7">
        <v>44484</v>
      </c>
      <c r="N59" s="1">
        <v>783897</v>
      </c>
    </row>
    <row r="60" spans="1:14" ht="15.75" customHeight="1" x14ac:dyDescent="0.3">
      <c r="A60" s="1">
        <v>59</v>
      </c>
      <c r="B60" s="1" t="s">
        <v>38</v>
      </c>
      <c r="C60" s="5">
        <v>5005.1099999999997</v>
      </c>
      <c r="D60" s="1">
        <v>37</v>
      </c>
      <c r="E60" s="1">
        <v>4</v>
      </c>
      <c r="F60" s="1">
        <v>1956</v>
      </c>
      <c r="G60" s="1" t="s">
        <v>15</v>
      </c>
      <c r="H60" s="1" t="b">
        <v>1</v>
      </c>
      <c r="I60" s="8">
        <v>15.61</v>
      </c>
      <c r="J60" s="1">
        <v>1692</v>
      </c>
      <c r="K60" s="1" t="b">
        <v>0</v>
      </c>
      <c r="L60" s="1" t="s">
        <v>34</v>
      </c>
      <c r="M60" s="7">
        <v>43427</v>
      </c>
      <c r="N60" s="1">
        <v>185189</v>
      </c>
    </row>
    <row r="61" spans="1:14" ht="15.75" customHeight="1" x14ac:dyDescent="0.3">
      <c r="A61" s="1">
        <v>60</v>
      </c>
      <c r="B61" s="1" t="s">
        <v>14</v>
      </c>
      <c r="C61" s="5">
        <v>4657.29</v>
      </c>
      <c r="D61" s="1">
        <v>36</v>
      </c>
      <c r="E61" s="1">
        <v>2</v>
      </c>
      <c r="F61" s="1">
        <v>2017</v>
      </c>
      <c r="G61" s="1" t="s">
        <v>29</v>
      </c>
      <c r="H61" s="1" t="b">
        <v>0</v>
      </c>
      <c r="I61" s="8">
        <v>2.2599999999999998</v>
      </c>
      <c r="J61" s="1">
        <v>1047</v>
      </c>
      <c r="K61" s="1" t="b">
        <v>0</v>
      </c>
      <c r="L61" s="1" t="s">
        <v>54</v>
      </c>
      <c r="M61" s="7">
        <v>44893</v>
      </c>
      <c r="N61" s="1">
        <v>171554</v>
      </c>
    </row>
    <row r="62" spans="1:14" ht="15.75" customHeight="1" x14ac:dyDescent="0.3">
      <c r="A62" s="1">
        <v>61</v>
      </c>
      <c r="B62" s="1" t="s">
        <v>38</v>
      </c>
      <c r="C62" s="5">
        <v>3584.63</v>
      </c>
      <c r="D62" s="1">
        <v>96</v>
      </c>
      <c r="E62" s="1">
        <v>3</v>
      </c>
      <c r="F62" s="1">
        <v>2007</v>
      </c>
      <c r="G62" s="1" t="s">
        <v>21</v>
      </c>
      <c r="H62" s="1" t="b">
        <v>1</v>
      </c>
      <c r="I62" s="8">
        <v>1.87</v>
      </c>
      <c r="J62" s="1">
        <v>894</v>
      </c>
      <c r="K62" s="1" t="b">
        <v>1</v>
      </c>
      <c r="L62" s="1" t="s">
        <v>54</v>
      </c>
      <c r="M62" s="7">
        <v>44860</v>
      </c>
      <c r="N62" s="1">
        <v>344124</v>
      </c>
    </row>
    <row r="63" spans="1:14" ht="15.75" customHeight="1" x14ac:dyDescent="0.3">
      <c r="A63" s="1">
        <v>62</v>
      </c>
      <c r="B63" s="1" t="s">
        <v>38</v>
      </c>
      <c r="C63" s="5">
        <v>4579.3500000000004</v>
      </c>
      <c r="D63" s="1">
        <v>46</v>
      </c>
      <c r="E63" s="1">
        <v>4</v>
      </c>
      <c r="F63" s="1">
        <v>1978</v>
      </c>
      <c r="G63" s="1" t="s">
        <v>18</v>
      </c>
      <c r="H63" s="1" t="b">
        <v>1</v>
      </c>
      <c r="I63" s="8">
        <v>12.8</v>
      </c>
      <c r="J63" s="1">
        <v>1877</v>
      </c>
      <c r="K63" s="1" t="b">
        <v>1</v>
      </c>
      <c r="L63" s="1" t="s">
        <v>54</v>
      </c>
      <c r="M63" s="7">
        <v>44090</v>
      </c>
      <c r="N63" s="1">
        <v>210650</v>
      </c>
    </row>
    <row r="64" spans="1:14" ht="15.75" customHeight="1" x14ac:dyDescent="0.3">
      <c r="A64" s="1">
        <v>63</v>
      </c>
      <c r="B64" s="1" t="s">
        <v>14</v>
      </c>
      <c r="C64" s="5">
        <v>4657.29</v>
      </c>
      <c r="D64" s="1">
        <v>62</v>
      </c>
      <c r="E64" s="1">
        <v>5</v>
      </c>
      <c r="F64" s="1">
        <v>1985</v>
      </c>
      <c r="G64" s="1" t="s">
        <v>15</v>
      </c>
      <c r="H64" s="1" t="b">
        <v>1</v>
      </c>
      <c r="I64" s="8">
        <v>7.6</v>
      </c>
      <c r="J64" s="1">
        <v>724</v>
      </c>
      <c r="K64" s="1" t="b">
        <v>1</v>
      </c>
      <c r="L64" s="1" t="s">
        <v>54</v>
      </c>
      <c r="M64" s="7">
        <v>44052</v>
      </c>
      <c r="N64" s="1">
        <v>288751</v>
      </c>
    </row>
    <row r="65" spans="1:14" ht="15.75" customHeight="1" x14ac:dyDescent="0.3">
      <c r="A65" s="1">
        <v>64</v>
      </c>
      <c r="B65" s="1" t="s">
        <v>14</v>
      </c>
      <c r="C65" s="5">
        <v>4197.72</v>
      </c>
      <c r="D65" s="1">
        <v>77</v>
      </c>
      <c r="E65" s="1">
        <v>1</v>
      </c>
      <c r="F65" s="1">
        <v>1970</v>
      </c>
      <c r="G65" s="1" t="s">
        <v>15</v>
      </c>
      <c r="H65" s="1" t="b">
        <v>1</v>
      </c>
      <c r="I65" s="8">
        <v>4.97</v>
      </c>
      <c r="J65" s="1">
        <v>912</v>
      </c>
      <c r="K65" s="1" t="b">
        <v>1</v>
      </c>
      <c r="L65" s="1" t="s">
        <v>34</v>
      </c>
      <c r="M65" s="7">
        <v>43823</v>
      </c>
      <c r="N65" s="1">
        <v>323224</v>
      </c>
    </row>
    <row r="66" spans="1:14" ht="15.75" customHeight="1" x14ac:dyDescent="0.3">
      <c r="A66" s="1">
        <v>65</v>
      </c>
      <c r="B66" s="1" t="s">
        <v>38</v>
      </c>
      <c r="C66" s="5">
        <v>4838.71</v>
      </c>
      <c r="D66" s="1">
        <v>105</v>
      </c>
      <c r="E66" s="1">
        <v>5</v>
      </c>
      <c r="F66" s="1">
        <v>1985</v>
      </c>
      <c r="G66" s="1" t="s">
        <v>18</v>
      </c>
      <c r="H66" s="1" t="b">
        <v>1</v>
      </c>
      <c r="I66" s="8">
        <v>12.01</v>
      </c>
      <c r="J66" s="1">
        <v>1841</v>
      </c>
      <c r="K66" s="1" t="b">
        <v>1</v>
      </c>
      <c r="L66" s="1" t="s">
        <v>17</v>
      </c>
      <c r="M66" s="7">
        <v>45180</v>
      </c>
      <c r="N66" s="1">
        <v>508064</v>
      </c>
    </row>
    <row r="67" spans="1:14" ht="15.75" customHeight="1" x14ac:dyDescent="0.3">
      <c r="A67" s="1">
        <v>66</v>
      </c>
      <c r="B67" s="1" t="s">
        <v>26</v>
      </c>
      <c r="C67" s="5">
        <v>5404.05</v>
      </c>
      <c r="D67" s="1">
        <v>88</v>
      </c>
      <c r="E67" s="1">
        <v>4</v>
      </c>
      <c r="F67" s="1">
        <v>1959</v>
      </c>
      <c r="G67" s="1" t="s">
        <v>18</v>
      </c>
      <c r="H67" s="1" t="b">
        <v>0</v>
      </c>
      <c r="I67" s="8">
        <v>7.49</v>
      </c>
      <c r="J67" s="1">
        <v>991</v>
      </c>
      <c r="K67" s="1" t="b">
        <v>1</v>
      </c>
      <c r="L67" s="1" t="s">
        <v>54</v>
      </c>
      <c r="M67" s="7">
        <v>43529</v>
      </c>
      <c r="N67" s="1">
        <v>475556</v>
      </c>
    </row>
    <row r="68" spans="1:14" ht="15.75" customHeight="1" x14ac:dyDescent="0.3">
      <c r="A68" s="1">
        <v>67</v>
      </c>
      <c r="B68" s="1" t="s">
        <v>40</v>
      </c>
      <c r="C68" s="5">
        <v>6886.19</v>
      </c>
      <c r="D68" s="1">
        <v>144</v>
      </c>
      <c r="E68" s="1">
        <v>4</v>
      </c>
      <c r="F68" s="1">
        <v>2022</v>
      </c>
      <c r="G68" s="1" t="s">
        <v>15</v>
      </c>
      <c r="H68" s="1" t="b">
        <v>1</v>
      </c>
      <c r="I68" s="8">
        <v>11.21</v>
      </c>
      <c r="J68" s="1">
        <v>1605</v>
      </c>
      <c r="K68" s="1" t="b">
        <v>1</v>
      </c>
      <c r="L68" s="1" t="s">
        <v>34</v>
      </c>
      <c r="M68" s="7">
        <v>44601</v>
      </c>
      <c r="N68" s="1">
        <v>991611</v>
      </c>
    </row>
    <row r="69" spans="1:14" ht="15.75" customHeight="1" x14ac:dyDescent="0.3">
      <c r="A69" s="1">
        <v>68</v>
      </c>
      <c r="B69" s="1" t="s">
        <v>14</v>
      </c>
      <c r="C69" s="5">
        <v>5174.58</v>
      </c>
      <c r="D69" s="1">
        <v>115</v>
      </c>
      <c r="E69" s="1">
        <v>4</v>
      </c>
      <c r="F69" s="1">
        <v>1973</v>
      </c>
      <c r="G69" s="1" t="s">
        <v>15</v>
      </c>
      <c r="H69" s="1" t="b">
        <v>0</v>
      </c>
      <c r="I69" s="8">
        <v>9.74</v>
      </c>
      <c r="J69" s="1">
        <v>1643</v>
      </c>
      <c r="K69" s="1" t="b">
        <v>1</v>
      </c>
      <c r="L69" s="1" t="s">
        <v>54</v>
      </c>
      <c r="M69" s="7">
        <v>43386</v>
      </c>
      <c r="N69" s="1">
        <v>595076</v>
      </c>
    </row>
    <row r="70" spans="1:14" ht="15.75" customHeight="1" x14ac:dyDescent="0.3">
      <c r="A70" s="1">
        <v>69</v>
      </c>
      <c r="B70" s="1" t="s">
        <v>40</v>
      </c>
      <c r="C70" s="5">
        <v>5257.55</v>
      </c>
      <c r="D70" s="1">
        <v>148</v>
      </c>
      <c r="E70" s="1">
        <v>5</v>
      </c>
      <c r="F70" s="1">
        <v>2013</v>
      </c>
      <c r="G70" s="1" t="s">
        <v>18</v>
      </c>
      <c r="H70" s="1" t="b">
        <v>0</v>
      </c>
      <c r="I70" s="8">
        <v>12.11</v>
      </c>
      <c r="J70" s="1">
        <v>1766</v>
      </c>
      <c r="K70" s="1" t="b">
        <v>0</v>
      </c>
      <c r="L70" s="1" t="s">
        <v>54</v>
      </c>
      <c r="M70" s="7">
        <v>45166</v>
      </c>
      <c r="N70" s="1">
        <v>778117</v>
      </c>
    </row>
    <row r="71" spans="1:14" ht="15.75" customHeight="1" x14ac:dyDescent="0.3">
      <c r="A71" s="1">
        <v>70</v>
      </c>
      <c r="B71" s="1" t="s">
        <v>26</v>
      </c>
      <c r="C71" s="5">
        <v>4973.49</v>
      </c>
      <c r="D71" s="1">
        <v>51</v>
      </c>
      <c r="E71" s="1">
        <v>4</v>
      </c>
      <c r="F71" s="1">
        <v>1998</v>
      </c>
      <c r="G71" s="1" t="s">
        <v>15</v>
      </c>
      <c r="H71" s="1" t="b">
        <v>1</v>
      </c>
      <c r="I71" s="8">
        <v>8.61</v>
      </c>
      <c r="J71" s="1">
        <v>614</v>
      </c>
      <c r="K71" s="1" t="b">
        <v>0</v>
      </c>
      <c r="L71" s="1" t="s">
        <v>34</v>
      </c>
      <c r="M71" s="7">
        <v>43869</v>
      </c>
      <c r="N71" s="1">
        <v>251203</v>
      </c>
    </row>
    <row r="72" spans="1:14" ht="15.75" customHeight="1" x14ac:dyDescent="0.3">
      <c r="A72" s="1">
        <v>71</v>
      </c>
      <c r="B72" s="1" t="s">
        <v>26</v>
      </c>
      <c r="C72" s="5">
        <v>3081.23</v>
      </c>
      <c r="D72" s="1">
        <v>139</v>
      </c>
      <c r="E72" s="1">
        <v>5</v>
      </c>
      <c r="F72" s="1">
        <v>1985</v>
      </c>
      <c r="G72" s="1" t="s">
        <v>29</v>
      </c>
      <c r="H72" s="1" t="b">
        <v>1</v>
      </c>
      <c r="I72" s="8">
        <v>14.26</v>
      </c>
      <c r="J72" s="1">
        <v>1176</v>
      </c>
      <c r="K72" s="1" t="b">
        <v>1</v>
      </c>
      <c r="L72" s="1" t="s">
        <v>17</v>
      </c>
      <c r="M72" s="7">
        <v>44495</v>
      </c>
      <c r="N72" s="1">
        <v>428290</v>
      </c>
    </row>
    <row r="73" spans="1:14" ht="15.75" customHeight="1" x14ac:dyDescent="0.3">
      <c r="A73" s="1">
        <v>72</v>
      </c>
      <c r="B73" s="1" t="s">
        <v>26</v>
      </c>
      <c r="C73" s="5">
        <v>4973.49</v>
      </c>
      <c r="D73" s="1">
        <v>59</v>
      </c>
      <c r="E73" s="1">
        <v>4</v>
      </c>
      <c r="F73" s="1">
        <v>1973</v>
      </c>
      <c r="G73" s="1" t="s">
        <v>29</v>
      </c>
      <c r="H73" s="1" t="b">
        <v>0</v>
      </c>
      <c r="I73" s="8">
        <v>4.42</v>
      </c>
      <c r="J73" s="1">
        <v>1700</v>
      </c>
      <c r="K73" s="1" t="b">
        <v>1</v>
      </c>
      <c r="L73" s="1" t="s">
        <v>17</v>
      </c>
      <c r="M73" s="7">
        <v>43294</v>
      </c>
      <c r="N73" s="1">
        <v>293435</v>
      </c>
    </row>
    <row r="74" spans="1:14" ht="15.75" customHeight="1" x14ac:dyDescent="0.3">
      <c r="A74" s="1">
        <v>73</v>
      </c>
      <c r="B74" s="1" t="s">
        <v>14</v>
      </c>
      <c r="C74" s="5">
        <v>5060.2299999999996</v>
      </c>
      <c r="D74" s="1">
        <v>67</v>
      </c>
      <c r="E74" s="1">
        <v>3</v>
      </c>
      <c r="F74" s="1">
        <v>1972</v>
      </c>
      <c r="G74" s="1" t="s">
        <v>18</v>
      </c>
      <c r="H74" s="1" t="b">
        <v>1</v>
      </c>
      <c r="I74" s="8">
        <v>14.23</v>
      </c>
      <c r="J74" s="1">
        <v>1612</v>
      </c>
      <c r="K74" s="1" t="b">
        <v>0</v>
      </c>
      <c r="L74" s="1" t="s">
        <v>34</v>
      </c>
      <c r="M74" s="7">
        <v>44088</v>
      </c>
      <c r="N74" s="1">
        <v>339035</v>
      </c>
    </row>
    <row r="75" spans="1:14" ht="15.75" customHeight="1" x14ac:dyDescent="0.3">
      <c r="A75" s="1">
        <v>74</v>
      </c>
      <c r="B75" s="1" t="s">
        <v>26</v>
      </c>
      <c r="C75" s="5">
        <v>7463.24</v>
      </c>
      <c r="D75" s="1">
        <v>131</v>
      </c>
      <c r="E75" s="1">
        <v>4</v>
      </c>
      <c r="F75" s="1">
        <v>2011</v>
      </c>
      <c r="G75" s="1" t="s">
        <v>21</v>
      </c>
      <c r="H75" s="1" t="b">
        <v>1</v>
      </c>
      <c r="I75" s="8">
        <v>8.82</v>
      </c>
      <c r="J75" s="1">
        <v>1760</v>
      </c>
      <c r="K75" s="1" t="b">
        <v>1</v>
      </c>
      <c r="L75" s="1" t="s">
        <v>17</v>
      </c>
      <c r="M75" s="7">
        <v>44237</v>
      </c>
      <c r="N75" s="1">
        <v>977684</v>
      </c>
    </row>
    <row r="76" spans="1:14" ht="15.75" customHeight="1" x14ac:dyDescent="0.3">
      <c r="A76" s="1">
        <v>75</v>
      </c>
      <c r="B76" s="1" t="s">
        <v>14</v>
      </c>
      <c r="C76" s="5">
        <v>4807.6400000000003</v>
      </c>
      <c r="D76" s="1">
        <v>138</v>
      </c>
      <c r="E76" s="1">
        <v>5</v>
      </c>
      <c r="F76" s="1">
        <v>1986</v>
      </c>
      <c r="G76" s="1" t="s">
        <v>18</v>
      </c>
      <c r="H76" s="1" t="b">
        <v>0</v>
      </c>
      <c r="I76" s="8">
        <v>17.61</v>
      </c>
      <c r="J76" s="1">
        <v>961</v>
      </c>
      <c r="K76" s="1" t="b">
        <v>1</v>
      </c>
      <c r="L76" s="1" t="s">
        <v>34</v>
      </c>
      <c r="M76" s="7">
        <v>45262</v>
      </c>
      <c r="N76" s="1">
        <v>663454</v>
      </c>
    </row>
    <row r="77" spans="1:14" ht="15.75" customHeight="1" x14ac:dyDescent="0.3">
      <c r="A77" s="1">
        <v>76</v>
      </c>
      <c r="B77" s="1" t="s">
        <v>26</v>
      </c>
      <c r="C77" s="5">
        <v>5301.55</v>
      </c>
      <c r="D77" s="1">
        <v>80</v>
      </c>
      <c r="E77" s="1">
        <v>2</v>
      </c>
      <c r="F77" s="1">
        <v>1961</v>
      </c>
      <c r="G77" s="1" t="s">
        <v>18</v>
      </c>
      <c r="H77" s="1" t="b">
        <v>0</v>
      </c>
      <c r="I77" s="8">
        <v>10.79</v>
      </c>
      <c r="J77" s="1">
        <v>576</v>
      </c>
      <c r="K77" s="1" t="b">
        <v>1</v>
      </c>
      <c r="L77" s="1" t="s">
        <v>34</v>
      </c>
      <c r="M77" s="7">
        <v>44802</v>
      </c>
      <c r="N77" s="1">
        <v>424124</v>
      </c>
    </row>
    <row r="78" spans="1:14" ht="15.75" customHeight="1" x14ac:dyDescent="0.3">
      <c r="A78" s="1">
        <v>77</v>
      </c>
      <c r="B78" s="1" t="s">
        <v>40</v>
      </c>
      <c r="C78" s="5">
        <v>4965.29</v>
      </c>
      <c r="D78" s="1">
        <v>83</v>
      </c>
      <c r="E78" s="1">
        <v>4</v>
      </c>
      <c r="F78" s="1">
        <v>2004</v>
      </c>
      <c r="G78" s="1" t="s">
        <v>21</v>
      </c>
      <c r="H78" s="1" t="b">
        <v>1</v>
      </c>
      <c r="I78" s="8">
        <v>19.489999999999998</v>
      </c>
      <c r="J78" s="1">
        <v>1905</v>
      </c>
      <c r="K78" s="1" t="b">
        <v>0</v>
      </c>
      <c r="L78" s="1" t="s">
        <v>34</v>
      </c>
      <c r="M78" s="7">
        <v>44047</v>
      </c>
      <c r="N78" s="1">
        <v>412119</v>
      </c>
    </row>
    <row r="79" spans="1:14" ht="15.75" customHeight="1" x14ac:dyDescent="0.3">
      <c r="A79" s="1">
        <v>78</v>
      </c>
      <c r="B79" s="1" t="s">
        <v>40</v>
      </c>
      <c r="C79" s="5">
        <v>3831.32</v>
      </c>
      <c r="D79" s="1">
        <v>37</v>
      </c>
      <c r="E79" s="1">
        <v>2</v>
      </c>
      <c r="F79" s="1">
        <v>1962</v>
      </c>
      <c r="G79" s="1" t="s">
        <v>21</v>
      </c>
      <c r="H79" s="1" t="b">
        <v>0</v>
      </c>
      <c r="I79" s="8">
        <v>12.44</v>
      </c>
      <c r="J79" s="1">
        <v>1826</v>
      </c>
      <c r="K79" s="1" t="b">
        <v>0</v>
      </c>
      <c r="L79" s="1" t="s">
        <v>17</v>
      </c>
      <c r="M79" s="7">
        <v>43931</v>
      </c>
      <c r="N79" s="1">
        <v>141758</v>
      </c>
    </row>
    <row r="80" spans="1:14" ht="15.75" customHeight="1" x14ac:dyDescent="0.3">
      <c r="A80" s="1">
        <v>79</v>
      </c>
      <c r="B80" s="1" t="s">
        <v>38</v>
      </c>
      <c r="C80" s="5">
        <v>6142.82</v>
      </c>
      <c r="D80" s="1">
        <v>56</v>
      </c>
      <c r="E80" s="1">
        <v>3</v>
      </c>
      <c r="F80" s="1">
        <v>1972</v>
      </c>
      <c r="G80" s="1" t="s">
        <v>21</v>
      </c>
      <c r="H80" s="1" t="b">
        <v>1</v>
      </c>
      <c r="I80" s="8">
        <v>5.25</v>
      </c>
      <c r="J80" s="1">
        <v>923</v>
      </c>
      <c r="K80" s="1" t="b">
        <v>0</v>
      </c>
      <c r="L80" s="1" t="s">
        <v>34</v>
      </c>
      <c r="M80" s="7">
        <v>45021</v>
      </c>
      <c r="N80" s="1">
        <v>343997</v>
      </c>
    </row>
    <row r="81" spans="1:14" ht="15.75" customHeight="1" x14ac:dyDescent="0.3">
      <c r="A81" s="1">
        <v>80</v>
      </c>
      <c r="B81" s="1" t="s">
        <v>40</v>
      </c>
      <c r="C81" s="5">
        <v>5751.93</v>
      </c>
      <c r="D81" s="1">
        <v>56</v>
      </c>
      <c r="E81" s="1">
        <v>1</v>
      </c>
      <c r="F81" s="1">
        <v>1979</v>
      </c>
      <c r="G81" s="1" t="s">
        <v>29</v>
      </c>
      <c r="H81" s="1" t="b">
        <v>1</v>
      </c>
      <c r="I81" s="8">
        <v>16.61</v>
      </c>
      <c r="J81" s="1">
        <v>815</v>
      </c>
      <c r="K81" s="1" t="b">
        <v>0</v>
      </c>
      <c r="L81" s="1" t="s">
        <v>54</v>
      </c>
      <c r="M81" s="7">
        <v>43155</v>
      </c>
      <c r="N81" s="1">
        <v>322108</v>
      </c>
    </row>
    <row r="82" spans="1:14" ht="15.75" customHeight="1" x14ac:dyDescent="0.3">
      <c r="A82" s="1">
        <v>81</v>
      </c>
      <c r="B82" s="1" t="s">
        <v>38</v>
      </c>
      <c r="C82" s="5">
        <v>5791.03</v>
      </c>
      <c r="D82" s="1">
        <v>127</v>
      </c>
      <c r="E82" s="1">
        <v>3</v>
      </c>
      <c r="F82" s="1">
        <v>1966</v>
      </c>
      <c r="G82" s="1" t="s">
        <v>15</v>
      </c>
      <c r="H82" s="1" t="b">
        <v>1</v>
      </c>
      <c r="I82" s="8">
        <v>7.56</v>
      </c>
      <c r="J82" s="1">
        <v>1673</v>
      </c>
      <c r="K82" s="1" t="b">
        <v>0</v>
      </c>
      <c r="L82" s="1" t="s">
        <v>17</v>
      </c>
      <c r="M82" s="7">
        <v>43900</v>
      </c>
      <c r="N82" s="1">
        <v>735460</v>
      </c>
    </row>
    <row r="83" spans="1:14" ht="15.75" customHeight="1" x14ac:dyDescent="0.3">
      <c r="A83" s="1">
        <v>82</v>
      </c>
      <c r="B83" s="1" t="s">
        <v>40</v>
      </c>
      <c r="C83" s="5">
        <v>4090.61</v>
      </c>
      <c r="D83" s="1">
        <v>50</v>
      </c>
      <c r="E83" s="1">
        <v>4</v>
      </c>
      <c r="F83" s="1">
        <v>2011</v>
      </c>
      <c r="G83" s="1" t="s">
        <v>29</v>
      </c>
      <c r="H83" s="1" t="b">
        <v>0</v>
      </c>
      <c r="I83" s="8">
        <v>7.6</v>
      </c>
      <c r="J83" s="1">
        <v>1142</v>
      </c>
      <c r="K83" s="1" t="b">
        <v>1</v>
      </c>
      <c r="L83" s="1" t="s">
        <v>17</v>
      </c>
      <c r="M83" s="7">
        <v>43878</v>
      </c>
      <c r="N83" s="1">
        <v>204530</v>
      </c>
    </row>
    <row r="84" spans="1:14" ht="15.75" customHeight="1" x14ac:dyDescent="0.3">
      <c r="A84" s="1">
        <v>83</v>
      </c>
      <c r="B84" s="1" t="s">
        <v>14</v>
      </c>
      <c r="C84" s="5">
        <v>6402.79</v>
      </c>
      <c r="D84" s="1">
        <v>59</v>
      </c>
      <c r="E84" s="1">
        <v>2</v>
      </c>
      <c r="F84" s="1">
        <v>1962</v>
      </c>
      <c r="G84" s="1" t="s">
        <v>15</v>
      </c>
      <c r="H84" s="1" t="b">
        <v>0</v>
      </c>
      <c r="I84" s="8">
        <v>1.6</v>
      </c>
      <c r="J84" s="1">
        <v>1769</v>
      </c>
      <c r="K84" s="1" t="b">
        <v>0</v>
      </c>
      <c r="L84" s="1" t="s">
        <v>17</v>
      </c>
      <c r="M84" s="7">
        <v>44582</v>
      </c>
      <c r="N84" s="1">
        <v>377764</v>
      </c>
    </row>
    <row r="85" spans="1:14" ht="15.75" customHeight="1" x14ac:dyDescent="0.3">
      <c r="A85" s="1">
        <v>84</v>
      </c>
      <c r="B85" s="1" t="s">
        <v>40</v>
      </c>
      <c r="C85" s="5">
        <v>3598.15</v>
      </c>
      <c r="D85" s="1">
        <v>126</v>
      </c>
      <c r="E85" s="1">
        <v>2</v>
      </c>
      <c r="F85" s="1">
        <v>2008</v>
      </c>
      <c r="G85" s="1" t="s">
        <v>29</v>
      </c>
      <c r="H85" s="1" t="b">
        <v>0</v>
      </c>
      <c r="I85" s="8">
        <v>11.43</v>
      </c>
      <c r="J85" s="1">
        <v>649</v>
      </c>
      <c r="K85" s="1" t="b">
        <v>1</v>
      </c>
      <c r="L85" s="1" t="s">
        <v>17</v>
      </c>
      <c r="M85" s="7">
        <v>45002</v>
      </c>
      <c r="N85" s="1">
        <v>453366</v>
      </c>
    </row>
    <row r="86" spans="1:14" ht="15.75" customHeight="1" x14ac:dyDescent="0.3">
      <c r="A86" s="1">
        <v>85</v>
      </c>
      <c r="B86" s="1" t="s">
        <v>38</v>
      </c>
      <c r="C86" s="5">
        <v>5586.86</v>
      </c>
      <c r="D86" s="1">
        <v>57</v>
      </c>
      <c r="E86" s="1">
        <v>5</v>
      </c>
      <c r="F86" s="1">
        <v>1968</v>
      </c>
      <c r="G86" s="1" t="s">
        <v>15</v>
      </c>
      <c r="H86" s="1" t="b">
        <v>0</v>
      </c>
      <c r="I86" s="8">
        <v>11.15</v>
      </c>
      <c r="J86" s="1">
        <v>1930</v>
      </c>
      <c r="K86" s="1" t="b">
        <v>1</v>
      </c>
      <c r="L86" s="1" t="s">
        <v>54</v>
      </c>
      <c r="M86" s="7">
        <v>45235</v>
      </c>
      <c r="N86" s="1">
        <v>318451</v>
      </c>
    </row>
    <row r="87" spans="1:14" ht="15.75" customHeight="1" x14ac:dyDescent="0.3">
      <c r="A87" s="1">
        <v>86</v>
      </c>
      <c r="B87" s="1" t="s">
        <v>38</v>
      </c>
      <c r="C87" s="5">
        <v>7190.46</v>
      </c>
      <c r="D87" s="1">
        <v>140</v>
      </c>
      <c r="E87" s="1">
        <v>2</v>
      </c>
      <c r="F87" s="1">
        <v>1998</v>
      </c>
      <c r="G87" s="1" t="s">
        <v>29</v>
      </c>
      <c r="H87" s="1" t="b">
        <v>0</v>
      </c>
      <c r="I87" s="8">
        <v>7.76</v>
      </c>
      <c r="J87" s="1">
        <v>1987</v>
      </c>
      <c r="K87" s="1" t="b">
        <v>0</v>
      </c>
      <c r="L87" s="1" t="s">
        <v>17</v>
      </c>
      <c r="M87" s="7">
        <v>43155</v>
      </c>
      <c r="N87" s="1">
        <v>1006664</v>
      </c>
    </row>
    <row r="88" spans="1:14" ht="15.75" customHeight="1" x14ac:dyDescent="0.3">
      <c r="A88" s="1">
        <v>87</v>
      </c>
      <c r="B88" s="1" t="s">
        <v>26</v>
      </c>
      <c r="C88" s="5">
        <v>4009.46</v>
      </c>
      <c r="D88" s="1">
        <v>93</v>
      </c>
      <c r="E88" s="1">
        <v>5</v>
      </c>
      <c r="F88" s="1">
        <v>1961</v>
      </c>
      <c r="G88" s="1" t="s">
        <v>21</v>
      </c>
      <c r="H88" s="1" t="b">
        <v>1</v>
      </c>
      <c r="I88" s="8">
        <v>17.989999999999998</v>
      </c>
      <c r="J88" s="1">
        <v>1122</v>
      </c>
      <c r="K88" s="1" t="b">
        <v>0</v>
      </c>
      <c r="L88" s="1" t="s">
        <v>17</v>
      </c>
      <c r="M88" s="7">
        <v>44924</v>
      </c>
      <c r="N88" s="1">
        <v>372879</v>
      </c>
    </row>
    <row r="89" spans="1:14" ht="15.75" customHeight="1" x14ac:dyDescent="0.3">
      <c r="A89" s="1">
        <v>88</v>
      </c>
      <c r="B89" s="1" t="s">
        <v>14</v>
      </c>
      <c r="C89" s="5">
        <v>4433.7</v>
      </c>
      <c r="D89" s="1">
        <v>126</v>
      </c>
      <c r="E89" s="1">
        <v>1</v>
      </c>
      <c r="F89" s="1">
        <v>2010</v>
      </c>
      <c r="G89" s="1" t="s">
        <v>18</v>
      </c>
      <c r="H89" s="1" t="b">
        <v>1</v>
      </c>
      <c r="I89" s="8">
        <v>3.45</v>
      </c>
      <c r="J89" s="1">
        <v>1460</v>
      </c>
      <c r="K89" s="1" t="b">
        <v>1</v>
      </c>
      <c r="L89" s="1" t="s">
        <v>34</v>
      </c>
      <c r="M89" s="7">
        <v>44302</v>
      </c>
      <c r="N89" s="1">
        <v>558646</v>
      </c>
    </row>
    <row r="90" spans="1:14" ht="15.75" customHeight="1" x14ac:dyDescent="0.3">
      <c r="A90" s="1">
        <v>89</v>
      </c>
      <c r="B90" s="1" t="s">
        <v>40</v>
      </c>
      <c r="C90" s="5">
        <v>5099.6499999999996</v>
      </c>
      <c r="D90" s="1">
        <v>98</v>
      </c>
      <c r="E90" s="1">
        <v>4</v>
      </c>
      <c r="F90" s="1">
        <v>1968</v>
      </c>
      <c r="G90" s="1" t="s">
        <v>29</v>
      </c>
      <c r="H90" s="1" t="b">
        <v>1</v>
      </c>
      <c r="I90" s="8">
        <v>7.27</v>
      </c>
      <c r="J90" s="1">
        <v>1058</v>
      </c>
      <c r="K90" s="1" t="b">
        <v>1</v>
      </c>
      <c r="L90" s="1" t="s">
        <v>17</v>
      </c>
      <c r="M90" s="7">
        <v>43933</v>
      </c>
      <c r="N90" s="1">
        <v>499765</v>
      </c>
    </row>
    <row r="91" spans="1:14" ht="15.75" customHeight="1" x14ac:dyDescent="0.3">
      <c r="A91" s="1">
        <v>90</v>
      </c>
      <c r="B91" s="1" t="s">
        <v>26</v>
      </c>
      <c r="C91" s="5">
        <v>4496.5200000000004</v>
      </c>
      <c r="D91" s="1">
        <v>90</v>
      </c>
      <c r="E91" s="1">
        <v>5</v>
      </c>
      <c r="F91" s="1">
        <v>1958</v>
      </c>
      <c r="G91" s="1" t="s">
        <v>15</v>
      </c>
      <c r="H91" s="1" t="b">
        <v>1</v>
      </c>
      <c r="I91" s="8">
        <v>7.11</v>
      </c>
      <c r="J91" s="1">
        <v>1198</v>
      </c>
      <c r="K91" s="1" t="b">
        <v>1</v>
      </c>
      <c r="L91" s="1" t="s">
        <v>54</v>
      </c>
      <c r="M91" s="7">
        <v>43413</v>
      </c>
      <c r="N91" s="1">
        <v>404686</v>
      </c>
    </row>
    <row r="92" spans="1:14" ht="15.75" customHeight="1" x14ac:dyDescent="0.3">
      <c r="A92" s="1">
        <v>91</v>
      </c>
      <c r="B92" s="1" t="s">
        <v>40</v>
      </c>
      <c r="C92" s="5">
        <v>3449.34</v>
      </c>
      <c r="D92" s="1">
        <v>77</v>
      </c>
      <c r="E92" s="1">
        <v>1</v>
      </c>
      <c r="F92" s="1">
        <v>2020</v>
      </c>
      <c r="G92" s="1" t="s">
        <v>21</v>
      </c>
      <c r="H92" s="1" t="b">
        <v>0</v>
      </c>
      <c r="I92" s="8">
        <v>2.75</v>
      </c>
      <c r="J92" s="1">
        <v>542</v>
      </c>
      <c r="K92" s="1" t="b">
        <v>0</v>
      </c>
      <c r="L92" s="1" t="s">
        <v>54</v>
      </c>
      <c r="M92" s="7">
        <v>44959</v>
      </c>
      <c r="N92" s="1">
        <v>265599</v>
      </c>
    </row>
    <row r="93" spans="1:14" ht="15.75" customHeight="1" x14ac:dyDescent="0.3">
      <c r="A93" s="1">
        <v>92</v>
      </c>
      <c r="B93" s="1" t="s">
        <v>40</v>
      </c>
      <c r="C93" s="5">
        <v>5099.6499999999996</v>
      </c>
      <c r="D93" s="1">
        <v>48</v>
      </c>
      <c r="E93" s="1">
        <v>2</v>
      </c>
      <c r="F93" s="1">
        <v>1977</v>
      </c>
      <c r="G93" s="1" t="s">
        <v>29</v>
      </c>
      <c r="H93" s="1" t="b">
        <v>1</v>
      </c>
      <c r="I93" s="8">
        <v>10.14</v>
      </c>
      <c r="J93" s="1">
        <v>842</v>
      </c>
      <c r="K93" s="1" t="b">
        <v>0</v>
      </c>
      <c r="L93" s="1" t="s">
        <v>54</v>
      </c>
      <c r="M93" s="7">
        <v>45108</v>
      </c>
      <c r="N93" s="1">
        <v>243290</v>
      </c>
    </row>
    <row r="94" spans="1:14" ht="15.75" customHeight="1" x14ac:dyDescent="0.3">
      <c r="A94" s="1">
        <v>93</v>
      </c>
      <c r="B94" s="1" t="s">
        <v>26</v>
      </c>
      <c r="C94" s="5">
        <v>3937.7</v>
      </c>
      <c r="D94" s="1">
        <v>33</v>
      </c>
      <c r="E94" s="1">
        <v>2</v>
      </c>
      <c r="F94" s="1">
        <v>2001</v>
      </c>
      <c r="G94" s="1" t="s">
        <v>29</v>
      </c>
      <c r="H94" s="1" t="b">
        <v>0</v>
      </c>
      <c r="I94" s="8">
        <v>14.07</v>
      </c>
      <c r="J94" s="1">
        <v>1363</v>
      </c>
      <c r="K94" s="1" t="b">
        <v>0</v>
      </c>
      <c r="L94" s="1" t="s">
        <v>54</v>
      </c>
      <c r="M94" s="7">
        <v>45107</v>
      </c>
      <c r="N94" s="1">
        <v>129944</v>
      </c>
    </row>
    <row r="95" spans="1:14" ht="15.75" customHeight="1" x14ac:dyDescent="0.3">
      <c r="A95" s="1">
        <v>94</v>
      </c>
      <c r="B95" s="1" t="s">
        <v>26</v>
      </c>
      <c r="C95" s="5">
        <v>5473.59</v>
      </c>
      <c r="D95" s="1">
        <v>64</v>
      </c>
      <c r="E95" s="1">
        <v>1</v>
      </c>
      <c r="F95" s="1">
        <v>1965</v>
      </c>
      <c r="G95" s="1" t="s">
        <v>21</v>
      </c>
      <c r="H95" s="1" t="b">
        <v>1</v>
      </c>
      <c r="I95" s="8">
        <v>10.72</v>
      </c>
      <c r="J95" s="1">
        <v>528</v>
      </c>
      <c r="K95" s="1" t="b">
        <v>0</v>
      </c>
      <c r="L95" s="1" t="s">
        <v>17</v>
      </c>
      <c r="M95" s="7">
        <v>44891</v>
      </c>
      <c r="N95" s="1">
        <v>350309</v>
      </c>
    </row>
    <row r="96" spans="1:14" ht="15.75" customHeight="1" x14ac:dyDescent="0.3">
      <c r="A96" s="1">
        <v>95</v>
      </c>
      <c r="B96" s="1" t="s">
        <v>26</v>
      </c>
      <c r="C96" s="5">
        <v>4080.58</v>
      </c>
      <c r="D96" s="1">
        <v>93</v>
      </c>
      <c r="E96" s="1">
        <v>2</v>
      </c>
      <c r="F96" s="1">
        <v>2018</v>
      </c>
      <c r="G96" s="1" t="s">
        <v>29</v>
      </c>
      <c r="H96" s="1" t="b">
        <v>0</v>
      </c>
      <c r="I96" s="8">
        <v>3.98</v>
      </c>
      <c r="J96" s="1">
        <v>847</v>
      </c>
      <c r="K96" s="1" t="b">
        <v>0</v>
      </c>
      <c r="L96" s="1" t="s">
        <v>17</v>
      </c>
      <c r="M96" s="7">
        <v>43428</v>
      </c>
      <c r="N96" s="1">
        <v>379493</v>
      </c>
    </row>
    <row r="97" spans="1:14" ht="15.75" customHeight="1" x14ac:dyDescent="0.3">
      <c r="A97" s="1">
        <v>96</v>
      </c>
      <c r="B97" s="1" t="s">
        <v>26</v>
      </c>
      <c r="C97" s="5">
        <v>6549.93</v>
      </c>
      <c r="D97" s="1">
        <v>78</v>
      </c>
      <c r="E97" s="1">
        <v>1</v>
      </c>
      <c r="F97" s="1">
        <v>1961</v>
      </c>
      <c r="G97" s="1" t="s">
        <v>18</v>
      </c>
      <c r="H97" s="1" t="b">
        <v>0</v>
      </c>
      <c r="I97" s="8">
        <v>8.17</v>
      </c>
      <c r="J97" s="1">
        <v>1219</v>
      </c>
      <c r="K97" s="1" t="b">
        <v>1</v>
      </c>
      <c r="L97" s="1" t="s">
        <v>54</v>
      </c>
      <c r="M97" s="7">
        <v>44388</v>
      </c>
      <c r="N97" s="1">
        <v>510894</v>
      </c>
    </row>
    <row r="98" spans="1:14" ht="15.75" customHeight="1" x14ac:dyDescent="0.3">
      <c r="A98" s="1">
        <v>97</v>
      </c>
      <c r="B98" s="1" t="s">
        <v>26</v>
      </c>
      <c r="C98" s="5">
        <v>4216.75</v>
      </c>
      <c r="D98" s="1">
        <v>46</v>
      </c>
      <c r="E98" s="1">
        <v>5</v>
      </c>
      <c r="F98" s="1">
        <v>1974</v>
      </c>
      <c r="G98" s="1" t="s">
        <v>29</v>
      </c>
      <c r="H98" s="1" t="b">
        <v>1</v>
      </c>
      <c r="I98" s="8">
        <v>1.05</v>
      </c>
      <c r="J98" s="1">
        <v>1546</v>
      </c>
      <c r="K98" s="1" t="b">
        <v>0</v>
      </c>
      <c r="L98" s="1" t="s">
        <v>54</v>
      </c>
      <c r="M98" s="7">
        <v>45244</v>
      </c>
      <c r="N98" s="1">
        <v>193970</v>
      </c>
    </row>
    <row r="99" spans="1:14" ht="15.75" customHeight="1" x14ac:dyDescent="0.3">
      <c r="A99" s="1">
        <v>98</v>
      </c>
      <c r="B99" s="1" t="s">
        <v>40</v>
      </c>
      <c r="C99" s="5">
        <v>4677.9399999999996</v>
      </c>
      <c r="D99" s="1">
        <v>73</v>
      </c>
      <c r="E99" s="1">
        <v>5</v>
      </c>
      <c r="F99" s="1">
        <v>2001</v>
      </c>
      <c r="G99" s="1" t="s">
        <v>18</v>
      </c>
      <c r="H99" s="1" t="b">
        <v>1</v>
      </c>
      <c r="I99" s="8">
        <v>17.5</v>
      </c>
      <c r="J99" s="1">
        <v>305</v>
      </c>
      <c r="K99" s="1" t="b">
        <v>1</v>
      </c>
      <c r="L99" s="1" t="s">
        <v>17</v>
      </c>
      <c r="M99" s="7">
        <v>44212</v>
      </c>
      <c r="N99" s="1">
        <v>341489</v>
      </c>
    </row>
    <row r="100" spans="1:14" ht="15.75" customHeight="1" x14ac:dyDescent="0.3">
      <c r="A100" s="1">
        <v>99</v>
      </c>
      <c r="B100" s="1" t="s">
        <v>26</v>
      </c>
      <c r="C100" s="5">
        <v>5813.52</v>
      </c>
      <c r="D100" s="1">
        <v>121</v>
      </c>
      <c r="E100" s="1">
        <v>1</v>
      </c>
      <c r="F100" s="1">
        <v>2002</v>
      </c>
      <c r="G100" s="1" t="s">
        <v>18</v>
      </c>
      <c r="H100" s="1" t="b">
        <v>1</v>
      </c>
      <c r="I100" s="8">
        <v>2.61</v>
      </c>
      <c r="J100" s="1">
        <v>1645</v>
      </c>
      <c r="K100" s="1" t="b">
        <v>1</v>
      </c>
      <c r="L100" s="1" t="s">
        <v>54</v>
      </c>
      <c r="M100" s="7">
        <v>44412</v>
      </c>
      <c r="N100" s="1">
        <v>703435</v>
      </c>
    </row>
    <row r="101" spans="1:14" ht="15.75" customHeight="1" x14ac:dyDescent="0.3">
      <c r="A101" s="1">
        <v>100</v>
      </c>
      <c r="B101" s="1" t="s">
        <v>14</v>
      </c>
      <c r="C101" s="5">
        <v>3769.14</v>
      </c>
      <c r="D101" s="1">
        <v>59</v>
      </c>
      <c r="E101" s="1">
        <v>5</v>
      </c>
      <c r="F101" s="1">
        <v>1972</v>
      </c>
      <c r="G101" s="1" t="s">
        <v>21</v>
      </c>
      <c r="H101" s="1" t="b">
        <v>1</v>
      </c>
      <c r="I101" s="8">
        <v>12.35</v>
      </c>
      <c r="J101" s="1">
        <v>767</v>
      </c>
      <c r="K101" s="1" t="b">
        <v>1</v>
      </c>
      <c r="L101" s="1" t="s">
        <v>34</v>
      </c>
      <c r="M101" s="7">
        <v>43552</v>
      </c>
      <c r="N101" s="1">
        <v>222379</v>
      </c>
    </row>
    <row r="102" spans="1:14" ht="15.75" customHeight="1" x14ac:dyDescent="0.25">
      <c r="C102" s="2"/>
      <c r="I102" s="2"/>
    </row>
    <row r="103" spans="1:14" ht="15.75" customHeight="1" x14ac:dyDescent="0.25">
      <c r="C103" s="2"/>
      <c r="I103" s="2"/>
    </row>
    <row r="104" spans="1:14" ht="15.75" customHeight="1" x14ac:dyDescent="0.25">
      <c r="C104" s="2"/>
      <c r="I104" s="2"/>
    </row>
    <row r="105" spans="1:14" ht="15.75" customHeight="1" x14ac:dyDescent="0.25">
      <c r="C105" s="2"/>
      <c r="I105" s="2"/>
    </row>
    <row r="106" spans="1:14" ht="15.75" customHeight="1" x14ac:dyDescent="0.25">
      <c r="C106" s="2"/>
      <c r="I106" s="2"/>
    </row>
    <row r="107" spans="1:14" ht="15.75" customHeight="1" x14ac:dyDescent="0.25">
      <c r="C107" s="2"/>
      <c r="I107" s="2"/>
    </row>
    <row r="108" spans="1:14" ht="15.75" customHeight="1" x14ac:dyDescent="0.25">
      <c r="C108" s="2"/>
      <c r="I108" s="2"/>
    </row>
    <row r="109" spans="1:14" ht="15.75" customHeight="1" x14ac:dyDescent="0.25">
      <c r="C109" s="2"/>
      <c r="I109" s="2"/>
    </row>
    <row r="110" spans="1:14" ht="15.75" customHeight="1" x14ac:dyDescent="0.25">
      <c r="C110" s="2"/>
      <c r="I110" s="2"/>
    </row>
    <row r="111" spans="1:14" ht="15.75" customHeight="1" x14ac:dyDescent="0.25">
      <c r="C111" s="2"/>
      <c r="I111" s="2"/>
    </row>
    <row r="112" spans="1:14" ht="15.75" customHeight="1" x14ac:dyDescent="0.25">
      <c r="C112" s="2"/>
      <c r="I112" s="2"/>
    </row>
    <row r="113" spans="3:9" ht="15.75" customHeight="1" x14ac:dyDescent="0.25">
      <c r="C113" s="2"/>
      <c r="I113" s="2"/>
    </row>
    <row r="114" spans="3:9" ht="15.75" customHeight="1" x14ac:dyDescent="0.25">
      <c r="C114" s="2"/>
      <c r="I114" s="2"/>
    </row>
    <row r="115" spans="3:9" ht="15.75" customHeight="1" x14ac:dyDescent="0.25">
      <c r="C115" s="2"/>
      <c r="I115" s="2"/>
    </row>
    <row r="116" spans="3:9" ht="15.75" customHeight="1" x14ac:dyDescent="0.25">
      <c r="C116" s="2"/>
      <c r="I116" s="2"/>
    </row>
    <row r="117" spans="3:9" ht="15.75" customHeight="1" x14ac:dyDescent="0.25">
      <c r="C117" s="2"/>
      <c r="I117" s="2"/>
    </row>
    <row r="118" spans="3:9" ht="15.75" customHeight="1" x14ac:dyDescent="0.25">
      <c r="C118" s="2"/>
      <c r="I118" s="2"/>
    </row>
    <row r="119" spans="3:9" ht="15.75" customHeight="1" x14ac:dyDescent="0.25">
      <c r="C119" s="2"/>
      <c r="I119" s="2"/>
    </row>
    <row r="120" spans="3:9" ht="15.75" customHeight="1" x14ac:dyDescent="0.25">
      <c r="C120" s="2"/>
      <c r="I120" s="2"/>
    </row>
    <row r="121" spans="3:9" ht="15.75" customHeight="1" x14ac:dyDescent="0.25">
      <c r="C121" s="2"/>
      <c r="I121" s="2"/>
    </row>
    <row r="122" spans="3:9" ht="15.75" customHeight="1" x14ac:dyDescent="0.25">
      <c r="C122" s="2"/>
      <c r="I122" s="2"/>
    </row>
    <row r="123" spans="3:9" ht="15.75" customHeight="1" x14ac:dyDescent="0.25">
      <c r="C123" s="2"/>
      <c r="I123" s="2"/>
    </row>
    <row r="124" spans="3:9" ht="15.75" customHeight="1" x14ac:dyDescent="0.25">
      <c r="C124" s="2"/>
      <c r="I124" s="2"/>
    </row>
    <row r="125" spans="3:9" ht="15.75" customHeight="1" x14ac:dyDescent="0.25">
      <c r="C125" s="2"/>
      <c r="I125" s="2"/>
    </row>
    <row r="126" spans="3:9" ht="15.75" customHeight="1" x14ac:dyDescent="0.25">
      <c r="C126" s="2"/>
      <c r="I126" s="2"/>
    </row>
    <row r="127" spans="3:9" ht="15.75" customHeight="1" x14ac:dyDescent="0.25">
      <c r="C127" s="2"/>
      <c r="I127" s="2"/>
    </row>
    <row r="128" spans="3:9" ht="15.75" customHeight="1" x14ac:dyDescent="0.25">
      <c r="C128" s="2"/>
      <c r="I128" s="2"/>
    </row>
    <row r="129" spans="3:9" ht="15.75" customHeight="1" x14ac:dyDescent="0.25">
      <c r="C129" s="2"/>
      <c r="I129" s="2"/>
    </row>
    <row r="130" spans="3:9" ht="15.75" customHeight="1" x14ac:dyDescent="0.25">
      <c r="C130" s="2"/>
      <c r="I130" s="2"/>
    </row>
    <row r="131" spans="3:9" ht="15.75" customHeight="1" x14ac:dyDescent="0.25">
      <c r="C131" s="2"/>
      <c r="I131" s="2"/>
    </row>
    <row r="132" spans="3:9" ht="15.75" customHeight="1" x14ac:dyDescent="0.25">
      <c r="C132" s="2"/>
      <c r="I132" s="2"/>
    </row>
    <row r="133" spans="3:9" ht="15.75" customHeight="1" x14ac:dyDescent="0.25">
      <c r="C133" s="2"/>
      <c r="I133" s="2"/>
    </row>
    <row r="134" spans="3:9" ht="15.75" customHeight="1" x14ac:dyDescent="0.25">
      <c r="C134" s="2"/>
      <c r="I134" s="2"/>
    </row>
    <row r="135" spans="3:9" ht="15.75" customHeight="1" x14ac:dyDescent="0.25">
      <c r="C135" s="2"/>
      <c r="I135" s="2"/>
    </row>
    <row r="136" spans="3:9" ht="15.75" customHeight="1" x14ac:dyDescent="0.25">
      <c r="C136" s="2"/>
      <c r="I136" s="2"/>
    </row>
    <row r="137" spans="3:9" ht="15.75" customHeight="1" x14ac:dyDescent="0.25">
      <c r="C137" s="2"/>
      <c r="I137" s="2"/>
    </row>
    <row r="138" spans="3:9" ht="15.75" customHeight="1" x14ac:dyDescent="0.25">
      <c r="C138" s="2"/>
      <c r="I138" s="2"/>
    </row>
    <row r="139" spans="3:9" ht="15.75" customHeight="1" x14ac:dyDescent="0.25">
      <c r="C139" s="2"/>
      <c r="I139" s="2"/>
    </row>
    <row r="140" spans="3:9" ht="15.75" customHeight="1" x14ac:dyDescent="0.25">
      <c r="C140" s="2"/>
      <c r="I140" s="2"/>
    </row>
    <row r="141" spans="3:9" ht="15.75" customHeight="1" x14ac:dyDescent="0.25">
      <c r="C141" s="2"/>
      <c r="I141" s="2"/>
    </row>
    <row r="142" spans="3:9" ht="15.75" customHeight="1" x14ac:dyDescent="0.25">
      <c r="C142" s="2"/>
      <c r="I142" s="2"/>
    </row>
    <row r="143" spans="3:9" ht="15.75" customHeight="1" x14ac:dyDescent="0.25">
      <c r="C143" s="2"/>
      <c r="I143" s="2"/>
    </row>
    <row r="144" spans="3:9" ht="15.75" customHeight="1" x14ac:dyDescent="0.25">
      <c r="C144" s="2"/>
      <c r="I144" s="2"/>
    </row>
    <row r="145" spans="3:9" ht="15.75" customHeight="1" x14ac:dyDescent="0.25">
      <c r="C145" s="2"/>
      <c r="I145" s="2"/>
    </row>
    <row r="146" spans="3:9" ht="15.75" customHeight="1" x14ac:dyDescent="0.25">
      <c r="C146" s="2"/>
      <c r="I146" s="2"/>
    </row>
    <row r="147" spans="3:9" ht="15.75" customHeight="1" x14ac:dyDescent="0.25">
      <c r="C147" s="2"/>
      <c r="I147" s="2"/>
    </row>
    <row r="148" spans="3:9" ht="15.75" customHeight="1" x14ac:dyDescent="0.25">
      <c r="C148" s="2"/>
      <c r="I148" s="2"/>
    </row>
    <row r="149" spans="3:9" ht="15.75" customHeight="1" x14ac:dyDescent="0.25">
      <c r="C149" s="2"/>
      <c r="I149" s="2"/>
    </row>
    <row r="150" spans="3:9" ht="15.75" customHeight="1" x14ac:dyDescent="0.25">
      <c r="C150" s="2"/>
      <c r="I150" s="2"/>
    </row>
    <row r="151" spans="3:9" ht="15.75" customHeight="1" x14ac:dyDescent="0.25">
      <c r="C151" s="2"/>
      <c r="I151" s="2"/>
    </row>
    <row r="152" spans="3:9" ht="15.75" customHeight="1" x14ac:dyDescent="0.25">
      <c r="C152" s="2"/>
      <c r="I152" s="2"/>
    </row>
    <row r="153" spans="3:9" ht="15.75" customHeight="1" x14ac:dyDescent="0.25">
      <c r="C153" s="2"/>
      <c r="I153" s="2"/>
    </row>
    <row r="154" spans="3:9" ht="15.75" customHeight="1" x14ac:dyDescent="0.25">
      <c r="C154" s="2"/>
      <c r="I154" s="2"/>
    </row>
    <row r="155" spans="3:9" ht="15.75" customHeight="1" x14ac:dyDescent="0.25">
      <c r="C155" s="2"/>
      <c r="I155" s="2"/>
    </row>
    <row r="156" spans="3:9" ht="15.75" customHeight="1" x14ac:dyDescent="0.25">
      <c r="C156" s="2"/>
      <c r="I156" s="2"/>
    </row>
    <row r="157" spans="3:9" ht="15.75" customHeight="1" x14ac:dyDescent="0.25">
      <c r="C157" s="2"/>
      <c r="I157" s="2"/>
    </row>
    <row r="158" spans="3:9" ht="15.75" customHeight="1" x14ac:dyDescent="0.25">
      <c r="C158" s="2"/>
      <c r="I158" s="2"/>
    </row>
    <row r="159" spans="3:9" ht="15.75" customHeight="1" x14ac:dyDescent="0.25">
      <c r="C159" s="2"/>
      <c r="I159" s="2"/>
    </row>
    <row r="160" spans="3:9" ht="15.75" customHeight="1" x14ac:dyDescent="0.25">
      <c r="C160" s="2"/>
      <c r="I160" s="2"/>
    </row>
    <row r="161" spans="3:9" ht="15.75" customHeight="1" x14ac:dyDescent="0.25">
      <c r="C161" s="2"/>
      <c r="I161" s="2"/>
    </row>
    <row r="162" spans="3:9" ht="15.75" customHeight="1" x14ac:dyDescent="0.25">
      <c r="C162" s="2"/>
      <c r="I162" s="2"/>
    </row>
    <row r="163" spans="3:9" ht="15.75" customHeight="1" x14ac:dyDescent="0.25">
      <c r="C163" s="2"/>
      <c r="I163" s="2"/>
    </row>
    <row r="164" spans="3:9" ht="15.75" customHeight="1" x14ac:dyDescent="0.25">
      <c r="C164" s="2"/>
      <c r="I164" s="2"/>
    </row>
    <row r="165" spans="3:9" ht="15.75" customHeight="1" x14ac:dyDescent="0.25">
      <c r="C165" s="2"/>
      <c r="I165" s="2"/>
    </row>
    <row r="166" spans="3:9" ht="15.75" customHeight="1" x14ac:dyDescent="0.25">
      <c r="C166" s="2"/>
      <c r="I166" s="2"/>
    </row>
    <row r="167" spans="3:9" ht="15.75" customHeight="1" x14ac:dyDescent="0.25">
      <c r="C167" s="2"/>
      <c r="I167" s="2"/>
    </row>
    <row r="168" spans="3:9" ht="15.75" customHeight="1" x14ac:dyDescent="0.25">
      <c r="C168" s="2"/>
      <c r="I168" s="2"/>
    </row>
    <row r="169" spans="3:9" ht="15.75" customHeight="1" x14ac:dyDescent="0.25">
      <c r="C169" s="2"/>
      <c r="I169" s="2"/>
    </row>
    <row r="170" spans="3:9" ht="15.75" customHeight="1" x14ac:dyDescent="0.25">
      <c r="C170" s="2"/>
      <c r="I170" s="2"/>
    </row>
    <row r="171" spans="3:9" ht="15.75" customHeight="1" x14ac:dyDescent="0.25">
      <c r="C171" s="2"/>
      <c r="I171" s="2"/>
    </row>
    <row r="172" spans="3:9" ht="15.75" customHeight="1" x14ac:dyDescent="0.25">
      <c r="C172" s="2"/>
      <c r="I172" s="2"/>
    </row>
    <row r="173" spans="3:9" ht="15.75" customHeight="1" x14ac:dyDescent="0.25">
      <c r="C173" s="2"/>
      <c r="I173" s="2"/>
    </row>
    <row r="174" spans="3:9" ht="15.75" customHeight="1" x14ac:dyDescent="0.25">
      <c r="C174" s="2"/>
      <c r="I174" s="2"/>
    </row>
    <row r="175" spans="3:9" ht="15.75" customHeight="1" x14ac:dyDescent="0.25">
      <c r="C175" s="2"/>
      <c r="I175" s="2"/>
    </row>
    <row r="176" spans="3:9" ht="15.75" customHeight="1" x14ac:dyDescent="0.25">
      <c r="C176" s="2"/>
      <c r="I176" s="2"/>
    </row>
    <row r="177" spans="3:9" ht="15.75" customHeight="1" x14ac:dyDescent="0.25">
      <c r="C177" s="2"/>
      <c r="I177" s="2"/>
    </row>
    <row r="178" spans="3:9" ht="15.75" customHeight="1" x14ac:dyDescent="0.25">
      <c r="C178" s="2"/>
      <c r="I178" s="2"/>
    </row>
    <row r="179" spans="3:9" ht="15.75" customHeight="1" x14ac:dyDescent="0.25">
      <c r="C179" s="2"/>
      <c r="I179" s="2"/>
    </row>
    <row r="180" spans="3:9" ht="15.75" customHeight="1" x14ac:dyDescent="0.25">
      <c r="C180" s="2"/>
      <c r="I180" s="2"/>
    </row>
    <row r="181" spans="3:9" ht="15.75" customHeight="1" x14ac:dyDescent="0.25">
      <c r="C181" s="2"/>
      <c r="I181" s="2"/>
    </row>
    <row r="182" spans="3:9" ht="15.75" customHeight="1" x14ac:dyDescent="0.25">
      <c r="C182" s="2"/>
      <c r="I182" s="2"/>
    </row>
    <row r="183" spans="3:9" ht="15.75" customHeight="1" x14ac:dyDescent="0.25">
      <c r="C183" s="2"/>
      <c r="I183" s="2"/>
    </row>
    <row r="184" spans="3:9" ht="15.75" customHeight="1" x14ac:dyDescent="0.25">
      <c r="C184" s="2"/>
      <c r="I184" s="2"/>
    </row>
    <row r="185" spans="3:9" ht="15.75" customHeight="1" x14ac:dyDescent="0.25">
      <c r="C185" s="2"/>
      <c r="I185" s="2"/>
    </row>
    <row r="186" spans="3:9" ht="15.75" customHeight="1" x14ac:dyDescent="0.25">
      <c r="C186" s="2"/>
      <c r="I186" s="2"/>
    </row>
    <row r="187" spans="3:9" ht="15.75" customHeight="1" x14ac:dyDescent="0.25">
      <c r="C187" s="2"/>
      <c r="I187" s="2"/>
    </row>
    <row r="188" spans="3:9" ht="15.75" customHeight="1" x14ac:dyDescent="0.25">
      <c r="C188" s="2"/>
      <c r="I188" s="2"/>
    </row>
    <row r="189" spans="3:9" ht="15.75" customHeight="1" x14ac:dyDescent="0.25">
      <c r="C189" s="2"/>
      <c r="I189" s="2"/>
    </row>
    <row r="190" spans="3:9" ht="15.75" customHeight="1" x14ac:dyDescent="0.25">
      <c r="C190" s="2"/>
      <c r="I190" s="2"/>
    </row>
    <row r="191" spans="3:9" ht="15.75" customHeight="1" x14ac:dyDescent="0.25">
      <c r="C191" s="2"/>
      <c r="I191" s="2"/>
    </row>
    <row r="192" spans="3:9" ht="15.75" customHeight="1" x14ac:dyDescent="0.25">
      <c r="C192" s="2"/>
      <c r="I192" s="2"/>
    </row>
    <row r="193" spans="3:9" ht="15.75" customHeight="1" x14ac:dyDescent="0.25">
      <c r="C193" s="2"/>
      <c r="I193" s="2"/>
    </row>
    <row r="194" spans="3:9" ht="15.75" customHeight="1" x14ac:dyDescent="0.25">
      <c r="C194" s="2"/>
      <c r="I194" s="2"/>
    </row>
    <row r="195" spans="3:9" ht="15.75" customHeight="1" x14ac:dyDescent="0.25">
      <c r="C195" s="2"/>
      <c r="I195" s="2"/>
    </row>
    <row r="196" spans="3:9" ht="15.75" customHeight="1" x14ac:dyDescent="0.25">
      <c r="C196" s="2"/>
      <c r="I196" s="2"/>
    </row>
    <row r="197" spans="3:9" ht="15.75" customHeight="1" x14ac:dyDescent="0.25">
      <c r="C197" s="2"/>
      <c r="I197" s="2"/>
    </row>
    <row r="198" spans="3:9" ht="15.75" customHeight="1" x14ac:dyDescent="0.25">
      <c r="C198" s="2"/>
      <c r="I198" s="2"/>
    </row>
    <row r="199" spans="3:9" ht="15.75" customHeight="1" x14ac:dyDescent="0.25">
      <c r="C199" s="2"/>
      <c r="I199" s="2"/>
    </row>
    <row r="200" spans="3:9" ht="15.75" customHeight="1" x14ac:dyDescent="0.25">
      <c r="C200" s="2"/>
      <c r="I200" s="2"/>
    </row>
    <row r="201" spans="3:9" ht="15.75" customHeight="1" x14ac:dyDescent="0.25">
      <c r="C201" s="2"/>
      <c r="I201" s="2"/>
    </row>
    <row r="202" spans="3:9" ht="15.75" customHeight="1" x14ac:dyDescent="0.25">
      <c r="C202" s="2"/>
      <c r="I202" s="2"/>
    </row>
    <row r="203" spans="3:9" ht="15.75" customHeight="1" x14ac:dyDescent="0.25">
      <c r="C203" s="2"/>
      <c r="I203" s="2"/>
    </row>
    <row r="204" spans="3:9" ht="15.75" customHeight="1" x14ac:dyDescent="0.25">
      <c r="C204" s="2"/>
      <c r="I204" s="2"/>
    </row>
    <row r="205" spans="3:9" ht="15.75" customHeight="1" x14ac:dyDescent="0.25">
      <c r="C205" s="2"/>
      <c r="I205" s="2"/>
    </row>
    <row r="206" spans="3:9" ht="15.75" customHeight="1" x14ac:dyDescent="0.25">
      <c r="C206" s="2"/>
      <c r="I206" s="2"/>
    </row>
    <row r="207" spans="3:9" ht="15.75" customHeight="1" x14ac:dyDescent="0.25">
      <c r="C207" s="2"/>
      <c r="I207" s="2"/>
    </row>
    <row r="208" spans="3:9" ht="15.75" customHeight="1" x14ac:dyDescent="0.25">
      <c r="C208" s="2"/>
      <c r="I208" s="2"/>
    </row>
    <row r="209" spans="3:9" ht="15.75" customHeight="1" x14ac:dyDescent="0.25">
      <c r="C209" s="2"/>
      <c r="I209" s="2"/>
    </row>
    <row r="210" spans="3:9" ht="15.75" customHeight="1" x14ac:dyDescent="0.25">
      <c r="C210" s="2"/>
      <c r="I210" s="2"/>
    </row>
    <row r="211" spans="3:9" ht="15.75" customHeight="1" x14ac:dyDescent="0.25">
      <c r="C211" s="2"/>
      <c r="I211" s="2"/>
    </row>
    <row r="212" spans="3:9" ht="15.75" customHeight="1" x14ac:dyDescent="0.25">
      <c r="C212" s="2"/>
      <c r="I212" s="2"/>
    </row>
    <row r="213" spans="3:9" ht="15.75" customHeight="1" x14ac:dyDescent="0.25">
      <c r="C213" s="2"/>
      <c r="I213" s="2"/>
    </row>
    <row r="214" spans="3:9" ht="15.75" customHeight="1" x14ac:dyDescent="0.25">
      <c r="C214" s="2"/>
      <c r="I214" s="2"/>
    </row>
    <row r="215" spans="3:9" ht="15.75" customHeight="1" x14ac:dyDescent="0.25">
      <c r="C215" s="2"/>
      <c r="I215" s="2"/>
    </row>
    <row r="216" spans="3:9" ht="15.75" customHeight="1" x14ac:dyDescent="0.25">
      <c r="C216" s="2"/>
      <c r="I216" s="2"/>
    </row>
    <row r="217" spans="3:9" ht="15.75" customHeight="1" x14ac:dyDescent="0.25">
      <c r="C217" s="2"/>
      <c r="I217" s="2"/>
    </row>
    <row r="218" spans="3:9" ht="15.75" customHeight="1" x14ac:dyDescent="0.25">
      <c r="C218" s="2"/>
      <c r="I218" s="2"/>
    </row>
    <row r="219" spans="3:9" ht="15.75" customHeight="1" x14ac:dyDescent="0.25">
      <c r="C219" s="2"/>
      <c r="I219" s="2"/>
    </row>
    <row r="220" spans="3:9" ht="15.75" customHeight="1" x14ac:dyDescent="0.25">
      <c r="C220" s="2"/>
      <c r="I220" s="2"/>
    </row>
    <row r="221" spans="3:9" ht="15.75" customHeight="1" x14ac:dyDescent="0.25">
      <c r="C221" s="2"/>
      <c r="I221" s="2"/>
    </row>
    <row r="222" spans="3:9" ht="15.75" customHeight="1" x14ac:dyDescent="0.25">
      <c r="C222" s="2"/>
      <c r="I222" s="2"/>
    </row>
    <row r="223" spans="3:9" ht="15.75" customHeight="1" x14ac:dyDescent="0.25">
      <c r="C223" s="2"/>
      <c r="I223" s="2"/>
    </row>
    <row r="224" spans="3:9" ht="15.75" customHeight="1" x14ac:dyDescent="0.25">
      <c r="C224" s="2"/>
      <c r="I224" s="2"/>
    </row>
    <row r="225" spans="3:9" ht="15.75" customHeight="1" x14ac:dyDescent="0.25">
      <c r="C225" s="2"/>
      <c r="I225" s="2"/>
    </row>
    <row r="226" spans="3:9" ht="15.75" customHeight="1" x14ac:dyDescent="0.25">
      <c r="C226" s="2"/>
      <c r="I226" s="2"/>
    </row>
    <row r="227" spans="3:9" ht="15.75" customHeight="1" x14ac:dyDescent="0.25">
      <c r="C227" s="2"/>
      <c r="I227" s="2"/>
    </row>
    <row r="228" spans="3:9" ht="15.75" customHeight="1" x14ac:dyDescent="0.25">
      <c r="C228" s="2"/>
      <c r="I228" s="2"/>
    </row>
    <row r="229" spans="3:9" ht="15.75" customHeight="1" x14ac:dyDescent="0.25">
      <c r="C229" s="2"/>
      <c r="I229" s="2"/>
    </row>
    <row r="230" spans="3:9" ht="15.75" customHeight="1" x14ac:dyDescent="0.25">
      <c r="C230" s="2"/>
      <c r="I230" s="2"/>
    </row>
    <row r="231" spans="3:9" ht="15.75" customHeight="1" x14ac:dyDescent="0.25">
      <c r="C231" s="2"/>
      <c r="I231" s="2"/>
    </row>
    <row r="232" spans="3:9" ht="15.75" customHeight="1" x14ac:dyDescent="0.25">
      <c r="C232" s="2"/>
      <c r="I232" s="2"/>
    </row>
    <row r="233" spans="3:9" ht="15.75" customHeight="1" x14ac:dyDescent="0.25">
      <c r="C233" s="2"/>
      <c r="I233" s="2"/>
    </row>
    <row r="234" spans="3:9" ht="15.75" customHeight="1" x14ac:dyDescent="0.25">
      <c r="C234" s="2"/>
      <c r="I234" s="2"/>
    </row>
    <row r="235" spans="3:9" ht="15.75" customHeight="1" x14ac:dyDescent="0.25">
      <c r="C235" s="2"/>
      <c r="I235" s="2"/>
    </row>
    <row r="236" spans="3:9" ht="15.75" customHeight="1" x14ac:dyDescent="0.25">
      <c r="C236" s="2"/>
      <c r="I236" s="2"/>
    </row>
    <row r="237" spans="3:9" ht="15.75" customHeight="1" x14ac:dyDescent="0.25">
      <c r="C237" s="2"/>
      <c r="I237" s="2"/>
    </row>
    <row r="238" spans="3:9" ht="15.75" customHeight="1" x14ac:dyDescent="0.25">
      <c r="C238" s="2"/>
      <c r="I238" s="2"/>
    </row>
    <row r="239" spans="3:9" ht="15.75" customHeight="1" x14ac:dyDescent="0.25">
      <c r="C239" s="2"/>
      <c r="I239" s="2"/>
    </row>
    <row r="240" spans="3:9" ht="15.75" customHeight="1" x14ac:dyDescent="0.25">
      <c r="C240" s="2"/>
      <c r="I240" s="2"/>
    </row>
    <row r="241" spans="3:9" ht="15.75" customHeight="1" x14ac:dyDescent="0.25">
      <c r="C241" s="2"/>
      <c r="I241" s="2"/>
    </row>
    <row r="242" spans="3:9" ht="15.75" customHeight="1" x14ac:dyDescent="0.25">
      <c r="C242" s="2"/>
      <c r="I242" s="2"/>
    </row>
    <row r="243" spans="3:9" ht="15.75" customHeight="1" x14ac:dyDescent="0.25">
      <c r="C243" s="2"/>
      <c r="I243" s="2"/>
    </row>
    <row r="244" spans="3:9" ht="15.75" customHeight="1" x14ac:dyDescent="0.25">
      <c r="C244" s="2"/>
      <c r="I244" s="2"/>
    </row>
    <row r="245" spans="3:9" ht="15.75" customHeight="1" x14ac:dyDescent="0.25">
      <c r="C245" s="2"/>
      <c r="I245" s="2"/>
    </row>
    <row r="246" spans="3:9" ht="15.75" customHeight="1" x14ac:dyDescent="0.25">
      <c r="C246" s="2"/>
      <c r="I246" s="2"/>
    </row>
    <row r="247" spans="3:9" ht="15.75" customHeight="1" x14ac:dyDescent="0.25">
      <c r="C247" s="2"/>
      <c r="I247" s="2"/>
    </row>
    <row r="248" spans="3:9" ht="15.75" customHeight="1" x14ac:dyDescent="0.25">
      <c r="C248" s="2"/>
      <c r="I248" s="2"/>
    </row>
    <row r="249" spans="3:9" ht="15.75" customHeight="1" x14ac:dyDescent="0.25">
      <c r="C249" s="2"/>
      <c r="I249" s="2"/>
    </row>
    <row r="250" spans="3:9" ht="15.75" customHeight="1" x14ac:dyDescent="0.25">
      <c r="C250" s="2"/>
      <c r="I250" s="2"/>
    </row>
    <row r="251" spans="3:9" ht="15.75" customHeight="1" x14ac:dyDescent="0.25">
      <c r="C251" s="2"/>
      <c r="I251" s="2"/>
    </row>
    <row r="252" spans="3:9" ht="15.75" customHeight="1" x14ac:dyDescent="0.25">
      <c r="C252" s="2"/>
      <c r="I252" s="2"/>
    </row>
    <row r="253" spans="3:9" ht="15.75" customHeight="1" x14ac:dyDescent="0.25">
      <c r="C253" s="2"/>
      <c r="I253" s="2"/>
    </row>
    <row r="254" spans="3:9" ht="15.75" customHeight="1" x14ac:dyDescent="0.25">
      <c r="C254" s="2"/>
      <c r="I254" s="2"/>
    </row>
    <row r="255" spans="3:9" ht="15.75" customHeight="1" x14ac:dyDescent="0.25">
      <c r="C255" s="2"/>
      <c r="I255" s="2"/>
    </row>
    <row r="256" spans="3:9" ht="15.75" customHeight="1" x14ac:dyDescent="0.25">
      <c r="C256" s="2"/>
      <c r="I256" s="2"/>
    </row>
    <row r="257" spans="3:9" ht="15.75" customHeight="1" x14ac:dyDescent="0.25">
      <c r="C257" s="2"/>
      <c r="I257" s="2"/>
    </row>
    <row r="258" spans="3:9" ht="15.75" customHeight="1" x14ac:dyDescent="0.25">
      <c r="C258" s="2"/>
      <c r="I258" s="2"/>
    </row>
    <row r="259" spans="3:9" ht="15.75" customHeight="1" x14ac:dyDescent="0.25">
      <c r="C259" s="2"/>
      <c r="I259" s="2"/>
    </row>
    <row r="260" spans="3:9" ht="15.75" customHeight="1" x14ac:dyDescent="0.25">
      <c r="C260" s="2"/>
      <c r="I260" s="2"/>
    </row>
    <row r="261" spans="3:9" ht="15.75" customHeight="1" x14ac:dyDescent="0.25">
      <c r="C261" s="2"/>
      <c r="I261" s="2"/>
    </row>
    <row r="262" spans="3:9" ht="15.75" customHeight="1" x14ac:dyDescent="0.25">
      <c r="C262" s="2"/>
      <c r="I262" s="2"/>
    </row>
    <row r="263" spans="3:9" ht="15.75" customHeight="1" x14ac:dyDescent="0.25">
      <c r="C263" s="2"/>
      <c r="I263" s="2"/>
    </row>
    <row r="264" spans="3:9" ht="15.75" customHeight="1" x14ac:dyDescent="0.25">
      <c r="C264" s="2"/>
      <c r="I264" s="2"/>
    </row>
    <row r="265" spans="3:9" ht="15.75" customHeight="1" x14ac:dyDescent="0.25">
      <c r="C265" s="2"/>
      <c r="I265" s="2"/>
    </row>
    <row r="266" spans="3:9" ht="15.75" customHeight="1" x14ac:dyDescent="0.25">
      <c r="C266" s="2"/>
      <c r="I266" s="2"/>
    </row>
    <row r="267" spans="3:9" ht="15.75" customHeight="1" x14ac:dyDescent="0.25">
      <c r="C267" s="2"/>
      <c r="I267" s="2"/>
    </row>
    <row r="268" spans="3:9" ht="15.75" customHeight="1" x14ac:dyDescent="0.25">
      <c r="C268" s="2"/>
      <c r="I268" s="2"/>
    </row>
    <row r="269" spans="3:9" ht="15.75" customHeight="1" x14ac:dyDescent="0.25">
      <c r="C269" s="2"/>
      <c r="I269" s="2"/>
    </row>
    <row r="270" spans="3:9" ht="15.75" customHeight="1" x14ac:dyDescent="0.25">
      <c r="C270" s="2"/>
      <c r="I270" s="2"/>
    </row>
    <row r="271" spans="3:9" ht="15.75" customHeight="1" x14ac:dyDescent="0.25">
      <c r="C271" s="2"/>
      <c r="I271" s="2"/>
    </row>
    <row r="272" spans="3:9" ht="15.75" customHeight="1" x14ac:dyDescent="0.25">
      <c r="C272" s="2"/>
      <c r="I272" s="2"/>
    </row>
    <row r="273" spans="3:9" ht="15.75" customHeight="1" x14ac:dyDescent="0.25">
      <c r="C273" s="2"/>
      <c r="I273" s="2"/>
    </row>
    <row r="274" spans="3:9" ht="15.75" customHeight="1" x14ac:dyDescent="0.25">
      <c r="C274" s="2"/>
      <c r="I274" s="2"/>
    </row>
    <row r="275" spans="3:9" ht="15.75" customHeight="1" x14ac:dyDescent="0.25">
      <c r="C275" s="2"/>
      <c r="I275" s="2"/>
    </row>
    <row r="276" spans="3:9" ht="15.75" customHeight="1" x14ac:dyDescent="0.25">
      <c r="C276" s="2"/>
      <c r="I276" s="2"/>
    </row>
    <row r="277" spans="3:9" ht="15.75" customHeight="1" x14ac:dyDescent="0.25">
      <c r="C277" s="2"/>
      <c r="I277" s="2"/>
    </row>
    <row r="278" spans="3:9" ht="15.75" customHeight="1" x14ac:dyDescent="0.25">
      <c r="C278" s="2"/>
      <c r="I278" s="2"/>
    </row>
    <row r="279" spans="3:9" ht="15.75" customHeight="1" x14ac:dyDescent="0.25">
      <c r="C279" s="2"/>
      <c r="I279" s="2"/>
    </row>
    <row r="280" spans="3:9" ht="15.75" customHeight="1" x14ac:dyDescent="0.25">
      <c r="C280" s="2"/>
      <c r="I280" s="2"/>
    </row>
    <row r="281" spans="3:9" ht="15.75" customHeight="1" x14ac:dyDescent="0.25">
      <c r="C281" s="2"/>
      <c r="I281" s="2"/>
    </row>
    <row r="282" spans="3:9" ht="15.75" customHeight="1" x14ac:dyDescent="0.25">
      <c r="C282" s="2"/>
      <c r="I282" s="2"/>
    </row>
    <row r="283" spans="3:9" ht="15.75" customHeight="1" x14ac:dyDescent="0.25">
      <c r="C283" s="2"/>
      <c r="I283" s="2"/>
    </row>
    <row r="284" spans="3:9" ht="15.75" customHeight="1" x14ac:dyDescent="0.25">
      <c r="C284" s="2"/>
      <c r="I284" s="2"/>
    </row>
    <row r="285" spans="3:9" ht="15.75" customHeight="1" x14ac:dyDescent="0.25">
      <c r="C285" s="2"/>
      <c r="I285" s="2"/>
    </row>
    <row r="286" spans="3:9" ht="15.75" customHeight="1" x14ac:dyDescent="0.25">
      <c r="C286" s="2"/>
      <c r="I286" s="2"/>
    </row>
    <row r="287" spans="3:9" ht="15.75" customHeight="1" x14ac:dyDescent="0.25">
      <c r="C287" s="2"/>
      <c r="I287" s="2"/>
    </row>
    <row r="288" spans="3:9" ht="15.75" customHeight="1" x14ac:dyDescent="0.25">
      <c r="C288" s="2"/>
      <c r="I288" s="2"/>
    </row>
    <row r="289" spans="3:9" ht="15.75" customHeight="1" x14ac:dyDescent="0.25">
      <c r="C289" s="2"/>
      <c r="I289" s="2"/>
    </row>
    <row r="290" spans="3:9" ht="15.75" customHeight="1" x14ac:dyDescent="0.25">
      <c r="C290" s="2"/>
      <c r="I290" s="2"/>
    </row>
    <row r="291" spans="3:9" ht="15.75" customHeight="1" x14ac:dyDescent="0.25">
      <c r="C291" s="2"/>
      <c r="I291" s="2"/>
    </row>
    <row r="292" spans="3:9" ht="15.75" customHeight="1" x14ac:dyDescent="0.25">
      <c r="C292" s="2"/>
      <c r="I292" s="2"/>
    </row>
    <row r="293" spans="3:9" ht="15.75" customHeight="1" x14ac:dyDescent="0.25">
      <c r="C293" s="2"/>
      <c r="I293" s="2"/>
    </row>
    <row r="294" spans="3:9" ht="15.75" customHeight="1" x14ac:dyDescent="0.25">
      <c r="C294" s="2"/>
      <c r="I294" s="2"/>
    </row>
    <row r="295" spans="3:9" ht="15.75" customHeight="1" x14ac:dyDescent="0.25">
      <c r="C295" s="2"/>
      <c r="I295" s="2"/>
    </row>
    <row r="296" spans="3:9" ht="15.75" customHeight="1" x14ac:dyDescent="0.25">
      <c r="C296" s="2"/>
      <c r="I296" s="2"/>
    </row>
    <row r="297" spans="3:9" ht="15.75" customHeight="1" x14ac:dyDescent="0.25">
      <c r="C297" s="2"/>
      <c r="I297" s="2"/>
    </row>
    <row r="298" spans="3:9" ht="15.75" customHeight="1" x14ac:dyDescent="0.25">
      <c r="C298" s="2"/>
      <c r="I298" s="2"/>
    </row>
    <row r="299" spans="3:9" ht="15.75" customHeight="1" x14ac:dyDescent="0.25">
      <c r="C299" s="2"/>
      <c r="I299" s="2"/>
    </row>
    <row r="300" spans="3:9" ht="15.75" customHeight="1" x14ac:dyDescent="0.25">
      <c r="C300" s="2"/>
      <c r="I300" s="2"/>
    </row>
    <row r="301" spans="3:9" ht="15.75" customHeight="1" x14ac:dyDescent="0.25">
      <c r="C301" s="2"/>
      <c r="I301" s="2"/>
    </row>
    <row r="302" spans="3:9" ht="15.75" customHeight="1" x14ac:dyDescent="0.25">
      <c r="C302" s="2"/>
      <c r="I302" s="2"/>
    </row>
    <row r="303" spans="3:9" ht="15.75" customHeight="1" x14ac:dyDescent="0.25">
      <c r="C303" s="2"/>
      <c r="I303" s="2"/>
    </row>
    <row r="304" spans="3:9" ht="15.75" customHeight="1" x14ac:dyDescent="0.25">
      <c r="C304" s="2"/>
      <c r="I304" s="2"/>
    </row>
    <row r="305" spans="3:9" ht="15.75" customHeight="1" x14ac:dyDescent="0.25">
      <c r="C305" s="2"/>
      <c r="I305" s="2"/>
    </row>
    <row r="306" spans="3:9" ht="15.75" customHeight="1" x14ac:dyDescent="0.25">
      <c r="C306" s="2"/>
      <c r="I306" s="2"/>
    </row>
    <row r="307" spans="3:9" ht="15.75" customHeight="1" x14ac:dyDescent="0.25">
      <c r="C307" s="2"/>
      <c r="I307" s="2"/>
    </row>
    <row r="308" spans="3:9" ht="15.75" customHeight="1" x14ac:dyDescent="0.25">
      <c r="C308" s="2"/>
      <c r="I308" s="2"/>
    </row>
    <row r="309" spans="3:9" ht="15.75" customHeight="1" x14ac:dyDescent="0.25">
      <c r="C309" s="2"/>
      <c r="I309" s="2"/>
    </row>
    <row r="310" spans="3:9" ht="15.75" customHeight="1" x14ac:dyDescent="0.25">
      <c r="C310" s="2"/>
      <c r="I310" s="2"/>
    </row>
    <row r="311" spans="3:9" ht="15.75" customHeight="1" x14ac:dyDescent="0.25">
      <c r="C311" s="2"/>
      <c r="I311" s="2"/>
    </row>
    <row r="312" spans="3:9" ht="15.75" customHeight="1" x14ac:dyDescent="0.25">
      <c r="C312" s="2"/>
      <c r="I312" s="2"/>
    </row>
    <row r="313" spans="3:9" ht="15.75" customHeight="1" x14ac:dyDescent="0.25">
      <c r="C313" s="2"/>
      <c r="I313" s="2"/>
    </row>
    <row r="314" spans="3:9" ht="15.75" customHeight="1" x14ac:dyDescent="0.25">
      <c r="C314" s="2"/>
      <c r="I314" s="2"/>
    </row>
    <row r="315" spans="3:9" ht="15.75" customHeight="1" x14ac:dyDescent="0.25">
      <c r="C315" s="2"/>
      <c r="I315" s="2"/>
    </row>
    <row r="316" spans="3:9" ht="15.75" customHeight="1" x14ac:dyDescent="0.25">
      <c r="C316" s="2"/>
      <c r="I316" s="2"/>
    </row>
    <row r="317" spans="3:9" ht="15.75" customHeight="1" x14ac:dyDescent="0.25">
      <c r="C317" s="2"/>
      <c r="I317" s="2"/>
    </row>
    <row r="318" spans="3:9" ht="15.75" customHeight="1" x14ac:dyDescent="0.25">
      <c r="C318" s="2"/>
      <c r="I318" s="2"/>
    </row>
    <row r="319" spans="3:9" ht="15.75" customHeight="1" x14ac:dyDescent="0.25">
      <c r="C319" s="2"/>
      <c r="I319" s="2"/>
    </row>
    <row r="320" spans="3:9" ht="15.75" customHeight="1" x14ac:dyDescent="0.25">
      <c r="C320" s="2"/>
      <c r="I320" s="2"/>
    </row>
    <row r="321" spans="3:9" ht="15.75" customHeight="1" x14ac:dyDescent="0.25">
      <c r="C321" s="2"/>
      <c r="I321" s="2"/>
    </row>
    <row r="322" spans="3:9" ht="15.75" customHeight="1" x14ac:dyDescent="0.25">
      <c r="C322" s="2"/>
      <c r="I322" s="2"/>
    </row>
    <row r="323" spans="3:9" ht="15.75" customHeight="1" x14ac:dyDescent="0.25">
      <c r="C323" s="2"/>
      <c r="I323" s="2"/>
    </row>
    <row r="324" spans="3:9" ht="15.75" customHeight="1" x14ac:dyDescent="0.25">
      <c r="C324" s="2"/>
      <c r="I324" s="2"/>
    </row>
    <row r="325" spans="3:9" ht="15.75" customHeight="1" x14ac:dyDescent="0.25">
      <c r="C325" s="2"/>
      <c r="I325" s="2"/>
    </row>
    <row r="326" spans="3:9" ht="15.75" customHeight="1" x14ac:dyDescent="0.25">
      <c r="C326" s="2"/>
      <c r="I326" s="2"/>
    </row>
    <row r="327" spans="3:9" ht="15.75" customHeight="1" x14ac:dyDescent="0.25">
      <c r="C327" s="2"/>
      <c r="I327" s="2"/>
    </row>
    <row r="328" spans="3:9" ht="15.75" customHeight="1" x14ac:dyDescent="0.25">
      <c r="C328" s="2"/>
      <c r="I328" s="2"/>
    </row>
    <row r="329" spans="3:9" ht="15.75" customHeight="1" x14ac:dyDescent="0.25">
      <c r="C329" s="2"/>
      <c r="I329" s="2"/>
    </row>
    <row r="330" spans="3:9" ht="15.75" customHeight="1" x14ac:dyDescent="0.25">
      <c r="C330" s="2"/>
      <c r="I330" s="2"/>
    </row>
    <row r="331" spans="3:9" ht="15.75" customHeight="1" x14ac:dyDescent="0.25">
      <c r="C331" s="2"/>
      <c r="I331" s="2"/>
    </row>
    <row r="332" spans="3:9" ht="15.75" customHeight="1" x14ac:dyDescent="0.25">
      <c r="C332" s="2"/>
      <c r="I332" s="2"/>
    </row>
    <row r="333" spans="3:9" ht="15.75" customHeight="1" x14ac:dyDescent="0.25">
      <c r="C333" s="2"/>
      <c r="I333" s="2"/>
    </row>
    <row r="334" spans="3:9" ht="15.75" customHeight="1" x14ac:dyDescent="0.25">
      <c r="C334" s="2"/>
      <c r="I334" s="2"/>
    </row>
    <row r="335" spans="3:9" ht="15.75" customHeight="1" x14ac:dyDescent="0.25">
      <c r="C335" s="2"/>
      <c r="I335" s="2"/>
    </row>
    <row r="336" spans="3:9" ht="15.75" customHeight="1" x14ac:dyDescent="0.25">
      <c r="C336" s="2"/>
      <c r="I336" s="2"/>
    </row>
    <row r="337" spans="3:9" ht="15.75" customHeight="1" x14ac:dyDescent="0.25">
      <c r="C337" s="2"/>
      <c r="I337" s="2"/>
    </row>
    <row r="338" spans="3:9" ht="15.75" customHeight="1" x14ac:dyDescent="0.25">
      <c r="C338" s="2"/>
      <c r="I338" s="2"/>
    </row>
    <row r="339" spans="3:9" ht="15.75" customHeight="1" x14ac:dyDescent="0.25">
      <c r="C339" s="2"/>
      <c r="I339" s="2"/>
    </row>
    <row r="340" spans="3:9" ht="15.75" customHeight="1" x14ac:dyDescent="0.25">
      <c r="C340" s="2"/>
      <c r="I340" s="2"/>
    </row>
    <row r="341" spans="3:9" ht="15.75" customHeight="1" x14ac:dyDescent="0.25">
      <c r="C341" s="2"/>
      <c r="I341" s="2"/>
    </row>
    <row r="342" spans="3:9" ht="15.75" customHeight="1" x14ac:dyDescent="0.25">
      <c r="C342" s="2"/>
      <c r="I342" s="2"/>
    </row>
    <row r="343" spans="3:9" ht="15.75" customHeight="1" x14ac:dyDescent="0.25">
      <c r="C343" s="2"/>
      <c r="I343" s="2"/>
    </row>
    <row r="344" spans="3:9" ht="15.75" customHeight="1" x14ac:dyDescent="0.25">
      <c r="C344" s="2"/>
      <c r="I344" s="2"/>
    </row>
    <row r="345" spans="3:9" ht="15.75" customHeight="1" x14ac:dyDescent="0.25">
      <c r="C345" s="2"/>
      <c r="I345" s="2"/>
    </row>
    <row r="346" spans="3:9" ht="15.75" customHeight="1" x14ac:dyDescent="0.25">
      <c r="C346" s="2"/>
      <c r="I346" s="2"/>
    </row>
    <row r="347" spans="3:9" ht="15.75" customHeight="1" x14ac:dyDescent="0.25">
      <c r="C347" s="2"/>
      <c r="I347" s="2"/>
    </row>
    <row r="348" spans="3:9" ht="15.75" customHeight="1" x14ac:dyDescent="0.25">
      <c r="C348" s="2"/>
      <c r="I348" s="2"/>
    </row>
    <row r="349" spans="3:9" ht="15.75" customHeight="1" x14ac:dyDescent="0.25">
      <c r="C349" s="2"/>
      <c r="I349" s="2"/>
    </row>
    <row r="350" spans="3:9" ht="15.75" customHeight="1" x14ac:dyDescent="0.25">
      <c r="C350" s="2"/>
      <c r="I350" s="2"/>
    </row>
    <row r="351" spans="3:9" ht="15.75" customHeight="1" x14ac:dyDescent="0.25">
      <c r="C351" s="2"/>
      <c r="I351" s="2"/>
    </row>
    <row r="352" spans="3:9" ht="15.75" customHeight="1" x14ac:dyDescent="0.25">
      <c r="C352" s="2"/>
      <c r="I352" s="2"/>
    </row>
    <row r="353" spans="3:9" ht="15.75" customHeight="1" x14ac:dyDescent="0.25">
      <c r="C353" s="2"/>
      <c r="I353" s="2"/>
    </row>
    <row r="354" spans="3:9" ht="15.75" customHeight="1" x14ac:dyDescent="0.25">
      <c r="C354" s="2"/>
      <c r="I354" s="2"/>
    </row>
    <row r="355" spans="3:9" ht="15.75" customHeight="1" x14ac:dyDescent="0.25">
      <c r="C355" s="2"/>
      <c r="I355" s="2"/>
    </row>
    <row r="356" spans="3:9" ht="15.75" customHeight="1" x14ac:dyDescent="0.25">
      <c r="C356" s="2"/>
      <c r="I356" s="2"/>
    </row>
    <row r="357" spans="3:9" ht="15.75" customHeight="1" x14ac:dyDescent="0.25">
      <c r="C357" s="2"/>
      <c r="I357" s="2"/>
    </row>
    <row r="358" spans="3:9" ht="15.75" customHeight="1" x14ac:dyDescent="0.25">
      <c r="C358" s="2"/>
      <c r="I358" s="2"/>
    </row>
    <row r="359" spans="3:9" ht="15.75" customHeight="1" x14ac:dyDescent="0.25">
      <c r="C359" s="2"/>
      <c r="I359" s="2"/>
    </row>
    <row r="360" spans="3:9" ht="15.75" customHeight="1" x14ac:dyDescent="0.25">
      <c r="C360" s="2"/>
      <c r="I360" s="2"/>
    </row>
    <row r="361" spans="3:9" ht="15.75" customHeight="1" x14ac:dyDescent="0.25">
      <c r="C361" s="2"/>
      <c r="I361" s="2"/>
    </row>
    <row r="362" spans="3:9" ht="15.75" customHeight="1" x14ac:dyDescent="0.25">
      <c r="C362" s="2"/>
      <c r="I362" s="2"/>
    </row>
    <row r="363" spans="3:9" ht="15.75" customHeight="1" x14ac:dyDescent="0.25">
      <c r="C363" s="2"/>
      <c r="I363" s="2"/>
    </row>
    <row r="364" spans="3:9" ht="15.75" customHeight="1" x14ac:dyDescent="0.25">
      <c r="C364" s="2"/>
      <c r="I364" s="2"/>
    </row>
    <row r="365" spans="3:9" ht="15.75" customHeight="1" x14ac:dyDescent="0.25">
      <c r="C365" s="2"/>
      <c r="I365" s="2"/>
    </row>
    <row r="366" spans="3:9" ht="15.75" customHeight="1" x14ac:dyDescent="0.25">
      <c r="C366" s="2"/>
      <c r="I366" s="2"/>
    </row>
    <row r="367" spans="3:9" ht="15.75" customHeight="1" x14ac:dyDescent="0.25">
      <c r="C367" s="2"/>
      <c r="I367" s="2"/>
    </row>
    <row r="368" spans="3:9" ht="15.75" customHeight="1" x14ac:dyDescent="0.25">
      <c r="C368" s="2"/>
      <c r="I368" s="2"/>
    </row>
    <row r="369" spans="3:9" ht="15.75" customHeight="1" x14ac:dyDescent="0.25">
      <c r="C369" s="2"/>
      <c r="I369" s="2"/>
    </row>
    <row r="370" spans="3:9" ht="15.75" customHeight="1" x14ac:dyDescent="0.25">
      <c r="C370" s="2"/>
      <c r="I370" s="2"/>
    </row>
    <row r="371" spans="3:9" ht="15.75" customHeight="1" x14ac:dyDescent="0.25">
      <c r="C371" s="2"/>
      <c r="I371" s="2"/>
    </row>
    <row r="372" spans="3:9" ht="15.75" customHeight="1" x14ac:dyDescent="0.25">
      <c r="C372" s="2"/>
      <c r="I372" s="2"/>
    </row>
    <row r="373" spans="3:9" ht="15.75" customHeight="1" x14ac:dyDescent="0.25">
      <c r="C373" s="2"/>
      <c r="I373" s="2"/>
    </row>
    <row r="374" spans="3:9" ht="15.75" customHeight="1" x14ac:dyDescent="0.25">
      <c r="C374" s="2"/>
      <c r="I374" s="2"/>
    </row>
    <row r="375" spans="3:9" ht="15.75" customHeight="1" x14ac:dyDescent="0.25">
      <c r="C375" s="2"/>
      <c r="I375" s="2"/>
    </row>
    <row r="376" spans="3:9" ht="15.75" customHeight="1" x14ac:dyDescent="0.25">
      <c r="C376" s="2"/>
      <c r="I376" s="2"/>
    </row>
    <row r="377" spans="3:9" ht="15.75" customHeight="1" x14ac:dyDescent="0.25">
      <c r="C377" s="2"/>
      <c r="I377" s="2"/>
    </row>
    <row r="378" spans="3:9" ht="15.75" customHeight="1" x14ac:dyDescent="0.25">
      <c r="C378" s="2"/>
      <c r="I378" s="2"/>
    </row>
    <row r="379" spans="3:9" ht="15.75" customHeight="1" x14ac:dyDescent="0.25">
      <c r="C379" s="2"/>
      <c r="I379" s="2"/>
    </row>
    <row r="380" spans="3:9" ht="15.75" customHeight="1" x14ac:dyDescent="0.25">
      <c r="C380" s="2"/>
      <c r="I380" s="2"/>
    </row>
    <row r="381" spans="3:9" ht="15.75" customHeight="1" x14ac:dyDescent="0.25">
      <c r="C381" s="2"/>
      <c r="I381" s="2"/>
    </row>
    <row r="382" spans="3:9" ht="15.75" customHeight="1" x14ac:dyDescent="0.25">
      <c r="C382" s="2"/>
      <c r="I382" s="2"/>
    </row>
    <row r="383" spans="3:9" ht="15.75" customHeight="1" x14ac:dyDescent="0.25">
      <c r="C383" s="2"/>
      <c r="I383" s="2"/>
    </row>
    <row r="384" spans="3:9" ht="15.75" customHeight="1" x14ac:dyDescent="0.25">
      <c r="C384" s="2"/>
      <c r="I384" s="2"/>
    </row>
    <row r="385" spans="3:9" ht="15.75" customHeight="1" x14ac:dyDescent="0.25">
      <c r="C385" s="2"/>
      <c r="I385" s="2"/>
    </row>
    <row r="386" spans="3:9" ht="15.75" customHeight="1" x14ac:dyDescent="0.25">
      <c r="C386" s="2"/>
      <c r="I386" s="2"/>
    </row>
    <row r="387" spans="3:9" ht="15.75" customHeight="1" x14ac:dyDescent="0.25">
      <c r="C387" s="2"/>
      <c r="I387" s="2"/>
    </row>
    <row r="388" spans="3:9" ht="15.75" customHeight="1" x14ac:dyDescent="0.25">
      <c r="C388" s="2"/>
      <c r="I388" s="2"/>
    </row>
    <row r="389" spans="3:9" ht="15.75" customHeight="1" x14ac:dyDescent="0.25">
      <c r="C389" s="2"/>
      <c r="I389" s="2"/>
    </row>
    <row r="390" spans="3:9" ht="15.75" customHeight="1" x14ac:dyDescent="0.25">
      <c r="C390" s="2"/>
      <c r="I390" s="2"/>
    </row>
    <row r="391" spans="3:9" ht="15.75" customHeight="1" x14ac:dyDescent="0.25">
      <c r="C391" s="2"/>
      <c r="I391" s="2"/>
    </row>
    <row r="392" spans="3:9" ht="15.75" customHeight="1" x14ac:dyDescent="0.25">
      <c r="C392" s="2"/>
      <c r="I392" s="2"/>
    </row>
    <row r="393" spans="3:9" ht="15.75" customHeight="1" x14ac:dyDescent="0.25">
      <c r="C393" s="2"/>
      <c r="I393" s="2"/>
    </row>
    <row r="394" spans="3:9" ht="15.75" customHeight="1" x14ac:dyDescent="0.25">
      <c r="C394" s="2"/>
      <c r="I394" s="2"/>
    </row>
    <row r="395" spans="3:9" ht="15.75" customHeight="1" x14ac:dyDescent="0.25">
      <c r="C395" s="2"/>
      <c r="I395" s="2"/>
    </row>
    <row r="396" spans="3:9" ht="15.75" customHeight="1" x14ac:dyDescent="0.25">
      <c r="C396" s="2"/>
      <c r="I396" s="2"/>
    </row>
    <row r="397" spans="3:9" ht="15.75" customHeight="1" x14ac:dyDescent="0.25">
      <c r="C397" s="2"/>
      <c r="I397" s="2"/>
    </row>
    <row r="398" spans="3:9" ht="15.75" customHeight="1" x14ac:dyDescent="0.25">
      <c r="C398" s="2"/>
      <c r="I398" s="2"/>
    </row>
    <row r="399" spans="3:9" ht="15.75" customHeight="1" x14ac:dyDescent="0.25">
      <c r="C399" s="2"/>
      <c r="I399" s="2"/>
    </row>
    <row r="400" spans="3:9" ht="15.75" customHeight="1" x14ac:dyDescent="0.25">
      <c r="C400" s="2"/>
      <c r="I400" s="2"/>
    </row>
    <row r="401" spans="3:9" ht="15.75" customHeight="1" x14ac:dyDescent="0.25">
      <c r="C401" s="2"/>
      <c r="I401" s="2"/>
    </row>
    <row r="402" spans="3:9" ht="15.75" customHeight="1" x14ac:dyDescent="0.25">
      <c r="C402" s="2"/>
      <c r="I402" s="2"/>
    </row>
    <row r="403" spans="3:9" ht="15.75" customHeight="1" x14ac:dyDescent="0.25">
      <c r="C403" s="2"/>
      <c r="I403" s="2"/>
    </row>
    <row r="404" spans="3:9" ht="15.75" customHeight="1" x14ac:dyDescent="0.25">
      <c r="C404" s="2"/>
      <c r="I404" s="2"/>
    </row>
    <row r="405" spans="3:9" ht="15.75" customHeight="1" x14ac:dyDescent="0.25">
      <c r="C405" s="2"/>
      <c r="I405" s="2"/>
    </row>
    <row r="406" spans="3:9" ht="15.75" customHeight="1" x14ac:dyDescent="0.25">
      <c r="C406" s="2"/>
      <c r="I406" s="2"/>
    </row>
    <row r="407" spans="3:9" ht="15.75" customHeight="1" x14ac:dyDescent="0.25">
      <c r="C407" s="2"/>
      <c r="I407" s="2"/>
    </row>
    <row r="408" spans="3:9" ht="15.75" customHeight="1" x14ac:dyDescent="0.25">
      <c r="C408" s="2"/>
      <c r="I408" s="2"/>
    </row>
    <row r="409" spans="3:9" ht="15.75" customHeight="1" x14ac:dyDescent="0.25">
      <c r="C409" s="2"/>
      <c r="I409" s="2"/>
    </row>
    <row r="410" spans="3:9" ht="15.75" customHeight="1" x14ac:dyDescent="0.25">
      <c r="C410" s="2"/>
      <c r="I410" s="2"/>
    </row>
    <row r="411" spans="3:9" ht="15.75" customHeight="1" x14ac:dyDescent="0.25">
      <c r="C411" s="2"/>
      <c r="I411" s="2"/>
    </row>
    <row r="412" spans="3:9" ht="15.75" customHeight="1" x14ac:dyDescent="0.25">
      <c r="C412" s="2"/>
      <c r="I412" s="2"/>
    </row>
    <row r="413" spans="3:9" ht="15.75" customHeight="1" x14ac:dyDescent="0.25">
      <c r="C413" s="2"/>
      <c r="I413" s="2"/>
    </row>
    <row r="414" spans="3:9" ht="15.75" customHeight="1" x14ac:dyDescent="0.25">
      <c r="C414" s="2"/>
      <c r="I414" s="2"/>
    </row>
    <row r="415" spans="3:9" ht="15.75" customHeight="1" x14ac:dyDescent="0.25">
      <c r="C415" s="2"/>
      <c r="I415" s="2"/>
    </row>
    <row r="416" spans="3:9" ht="15.75" customHeight="1" x14ac:dyDescent="0.25">
      <c r="C416" s="2"/>
      <c r="I416" s="2"/>
    </row>
    <row r="417" spans="3:9" ht="15.75" customHeight="1" x14ac:dyDescent="0.25">
      <c r="C417" s="2"/>
      <c r="I417" s="2"/>
    </row>
    <row r="418" spans="3:9" ht="15.75" customHeight="1" x14ac:dyDescent="0.25">
      <c r="C418" s="2"/>
      <c r="I418" s="2"/>
    </row>
    <row r="419" spans="3:9" ht="15.75" customHeight="1" x14ac:dyDescent="0.25">
      <c r="C419" s="2"/>
      <c r="I419" s="2"/>
    </row>
    <row r="420" spans="3:9" ht="15.75" customHeight="1" x14ac:dyDescent="0.25">
      <c r="C420" s="2"/>
      <c r="I420" s="2"/>
    </row>
    <row r="421" spans="3:9" ht="15.75" customHeight="1" x14ac:dyDescent="0.25">
      <c r="C421" s="2"/>
      <c r="I421" s="2"/>
    </row>
    <row r="422" spans="3:9" ht="15.75" customHeight="1" x14ac:dyDescent="0.25">
      <c r="C422" s="2"/>
      <c r="I422" s="2"/>
    </row>
    <row r="423" spans="3:9" ht="15.75" customHeight="1" x14ac:dyDescent="0.25">
      <c r="C423" s="2"/>
      <c r="I423" s="2"/>
    </row>
    <row r="424" spans="3:9" ht="15.75" customHeight="1" x14ac:dyDescent="0.25">
      <c r="C424" s="2"/>
      <c r="I424" s="2"/>
    </row>
    <row r="425" spans="3:9" ht="15.75" customHeight="1" x14ac:dyDescent="0.25">
      <c r="C425" s="2"/>
      <c r="I425" s="2"/>
    </row>
    <row r="426" spans="3:9" ht="15.75" customHeight="1" x14ac:dyDescent="0.25">
      <c r="C426" s="2"/>
      <c r="I426" s="2"/>
    </row>
    <row r="427" spans="3:9" ht="15.75" customHeight="1" x14ac:dyDescent="0.25">
      <c r="C427" s="2"/>
      <c r="I427" s="2"/>
    </row>
    <row r="428" spans="3:9" ht="15.75" customHeight="1" x14ac:dyDescent="0.25">
      <c r="C428" s="2"/>
      <c r="I428" s="2"/>
    </row>
    <row r="429" spans="3:9" ht="15.75" customHeight="1" x14ac:dyDescent="0.25">
      <c r="C429" s="2"/>
      <c r="I429" s="2"/>
    </row>
    <row r="430" spans="3:9" ht="15.75" customHeight="1" x14ac:dyDescent="0.25">
      <c r="C430" s="2"/>
      <c r="I430" s="2"/>
    </row>
    <row r="431" spans="3:9" ht="15.75" customHeight="1" x14ac:dyDescent="0.25">
      <c r="C431" s="2"/>
      <c r="I431" s="2"/>
    </row>
    <row r="432" spans="3:9" ht="15.75" customHeight="1" x14ac:dyDescent="0.25">
      <c r="C432" s="2"/>
      <c r="I432" s="2"/>
    </row>
    <row r="433" spans="3:9" ht="15.75" customHeight="1" x14ac:dyDescent="0.25">
      <c r="C433" s="2"/>
      <c r="I433" s="2"/>
    </row>
    <row r="434" spans="3:9" ht="15.75" customHeight="1" x14ac:dyDescent="0.25">
      <c r="C434" s="2"/>
      <c r="I434" s="2"/>
    </row>
    <row r="435" spans="3:9" ht="15.75" customHeight="1" x14ac:dyDescent="0.25">
      <c r="C435" s="2"/>
      <c r="I435" s="2"/>
    </row>
    <row r="436" spans="3:9" ht="15.75" customHeight="1" x14ac:dyDescent="0.25">
      <c r="C436" s="2"/>
      <c r="I436" s="2"/>
    </row>
    <row r="437" spans="3:9" ht="15.75" customHeight="1" x14ac:dyDescent="0.25">
      <c r="C437" s="2"/>
      <c r="I437" s="2"/>
    </row>
    <row r="438" spans="3:9" ht="15.75" customHeight="1" x14ac:dyDescent="0.25">
      <c r="C438" s="2"/>
      <c r="I438" s="2"/>
    </row>
    <row r="439" spans="3:9" ht="15.75" customHeight="1" x14ac:dyDescent="0.25">
      <c r="C439" s="2"/>
      <c r="I439" s="2"/>
    </row>
    <row r="440" spans="3:9" ht="15.75" customHeight="1" x14ac:dyDescent="0.25">
      <c r="C440" s="2"/>
      <c r="I440" s="2"/>
    </row>
    <row r="441" spans="3:9" ht="15.75" customHeight="1" x14ac:dyDescent="0.25">
      <c r="C441" s="2"/>
      <c r="I441" s="2"/>
    </row>
    <row r="442" spans="3:9" ht="15.75" customHeight="1" x14ac:dyDescent="0.25">
      <c r="C442" s="2"/>
      <c r="I442" s="2"/>
    </row>
    <row r="443" spans="3:9" ht="15.75" customHeight="1" x14ac:dyDescent="0.25">
      <c r="C443" s="2"/>
      <c r="I443" s="2"/>
    </row>
    <row r="444" spans="3:9" ht="15.75" customHeight="1" x14ac:dyDescent="0.25">
      <c r="C444" s="2"/>
      <c r="I444" s="2"/>
    </row>
    <row r="445" spans="3:9" ht="15.75" customHeight="1" x14ac:dyDescent="0.25">
      <c r="C445" s="2"/>
      <c r="I445" s="2"/>
    </row>
    <row r="446" spans="3:9" ht="15.75" customHeight="1" x14ac:dyDescent="0.25">
      <c r="C446" s="2"/>
      <c r="I446" s="2"/>
    </row>
    <row r="447" spans="3:9" ht="15.75" customHeight="1" x14ac:dyDescent="0.25">
      <c r="C447" s="2"/>
      <c r="I447" s="2"/>
    </row>
    <row r="448" spans="3:9" ht="15.75" customHeight="1" x14ac:dyDescent="0.25">
      <c r="C448" s="2"/>
      <c r="I448" s="2"/>
    </row>
    <row r="449" spans="3:9" ht="15.75" customHeight="1" x14ac:dyDescent="0.25">
      <c r="C449" s="2"/>
      <c r="I449" s="2"/>
    </row>
    <row r="450" spans="3:9" ht="15.75" customHeight="1" x14ac:dyDescent="0.25">
      <c r="C450" s="2"/>
      <c r="I450" s="2"/>
    </row>
    <row r="451" spans="3:9" ht="15.75" customHeight="1" x14ac:dyDescent="0.25">
      <c r="C451" s="2"/>
      <c r="I451" s="2"/>
    </row>
    <row r="452" spans="3:9" ht="15.75" customHeight="1" x14ac:dyDescent="0.25">
      <c r="C452" s="2"/>
      <c r="I452" s="2"/>
    </row>
    <row r="453" spans="3:9" ht="15.75" customHeight="1" x14ac:dyDescent="0.25">
      <c r="C453" s="2"/>
      <c r="I453" s="2"/>
    </row>
    <row r="454" spans="3:9" ht="15.75" customHeight="1" x14ac:dyDescent="0.25">
      <c r="C454" s="2"/>
      <c r="I454" s="2"/>
    </row>
    <row r="455" spans="3:9" ht="15.75" customHeight="1" x14ac:dyDescent="0.25">
      <c r="C455" s="2"/>
      <c r="I455" s="2"/>
    </row>
    <row r="456" spans="3:9" ht="15.75" customHeight="1" x14ac:dyDescent="0.25">
      <c r="C456" s="2"/>
      <c r="I456" s="2"/>
    </row>
    <row r="457" spans="3:9" ht="15.75" customHeight="1" x14ac:dyDescent="0.25">
      <c r="C457" s="2"/>
      <c r="I457" s="2"/>
    </row>
    <row r="458" spans="3:9" ht="15.75" customHeight="1" x14ac:dyDescent="0.25">
      <c r="C458" s="2"/>
      <c r="I458" s="2"/>
    </row>
    <row r="459" spans="3:9" ht="15.75" customHeight="1" x14ac:dyDescent="0.25">
      <c r="C459" s="2"/>
      <c r="I459" s="2"/>
    </row>
    <row r="460" spans="3:9" ht="15.75" customHeight="1" x14ac:dyDescent="0.25">
      <c r="C460" s="2"/>
      <c r="I460" s="2"/>
    </row>
    <row r="461" spans="3:9" ht="15.75" customHeight="1" x14ac:dyDescent="0.25">
      <c r="C461" s="2"/>
      <c r="I461" s="2"/>
    </row>
    <row r="462" spans="3:9" ht="15.75" customHeight="1" x14ac:dyDescent="0.25">
      <c r="C462" s="2"/>
      <c r="I462" s="2"/>
    </row>
    <row r="463" spans="3:9" ht="15.75" customHeight="1" x14ac:dyDescent="0.25">
      <c r="C463" s="2"/>
      <c r="I463" s="2"/>
    </row>
    <row r="464" spans="3:9" ht="15.75" customHeight="1" x14ac:dyDescent="0.25">
      <c r="C464" s="2"/>
      <c r="I464" s="2"/>
    </row>
    <row r="465" spans="3:9" ht="15.75" customHeight="1" x14ac:dyDescent="0.25">
      <c r="C465" s="2"/>
      <c r="I465" s="2"/>
    </row>
    <row r="466" spans="3:9" ht="15.75" customHeight="1" x14ac:dyDescent="0.25">
      <c r="C466" s="2"/>
      <c r="I466" s="2"/>
    </row>
    <row r="467" spans="3:9" ht="15.75" customHeight="1" x14ac:dyDescent="0.25">
      <c r="C467" s="2"/>
      <c r="I467" s="2"/>
    </row>
    <row r="468" spans="3:9" ht="15.75" customHeight="1" x14ac:dyDescent="0.25">
      <c r="C468" s="2"/>
      <c r="I468" s="2"/>
    </row>
    <row r="469" spans="3:9" ht="15.75" customHeight="1" x14ac:dyDescent="0.25">
      <c r="C469" s="2"/>
      <c r="I469" s="2"/>
    </row>
    <row r="470" spans="3:9" ht="15.75" customHeight="1" x14ac:dyDescent="0.25">
      <c r="C470" s="2"/>
      <c r="I470" s="2"/>
    </row>
    <row r="471" spans="3:9" ht="15.75" customHeight="1" x14ac:dyDescent="0.25">
      <c r="C471" s="2"/>
      <c r="I471" s="2"/>
    </row>
    <row r="472" spans="3:9" ht="15.75" customHeight="1" x14ac:dyDescent="0.25">
      <c r="C472" s="2"/>
      <c r="I472" s="2"/>
    </row>
    <row r="473" spans="3:9" ht="15.75" customHeight="1" x14ac:dyDescent="0.25">
      <c r="C473" s="2"/>
      <c r="I473" s="2"/>
    </row>
    <row r="474" spans="3:9" ht="15.75" customHeight="1" x14ac:dyDescent="0.25">
      <c r="C474" s="2"/>
      <c r="I474" s="2"/>
    </row>
    <row r="475" spans="3:9" ht="15.75" customHeight="1" x14ac:dyDescent="0.25">
      <c r="C475" s="2"/>
      <c r="I475" s="2"/>
    </row>
    <row r="476" spans="3:9" ht="15.75" customHeight="1" x14ac:dyDescent="0.25">
      <c r="C476" s="2"/>
      <c r="I476" s="2"/>
    </row>
    <row r="477" spans="3:9" ht="15.75" customHeight="1" x14ac:dyDescent="0.25">
      <c r="C477" s="2"/>
      <c r="I477" s="2"/>
    </row>
    <row r="478" spans="3:9" ht="15.75" customHeight="1" x14ac:dyDescent="0.25">
      <c r="C478" s="2"/>
      <c r="I478" s="2"/>
    </row>
    <row r="479" spans="3:9" ht="15.75" customHeight="1" x14ac:dyDescent="0.25">
      <c r="C479" s="2"/>
      <c r="I479" s="2"/>
    </row>
    <row r="480" spans="3:9" ht="15.75" customHeight="1" x14ac:dyDescent="0.25">
      <c r="C480" s="2"/>
      <c r="I480" s="2"/>
    </row>
    <row r="481" spans="3:9" ht="15.75" customHeight="1" x14ac:dyDescent="0.25">
      <c r="C481" s="2"/>
      <c r="I481" s="2"/>
    </row>
    <row r="482" spans="3:9" ht="15.75" customHeight="1" x14ac:dyDescent="0.25">
      <c r="C482" s="2"/>
      <c r="I482" s="2"/>
    </row>
    <row r="483" spans="3:9" ht="15.75" customHeight="1" x14ac:dyDescent="0.25">
      <c r="C483" s="2"/>
      <c r="I483" s="2"/>
    </row>
    <row r="484" spans="3:9" ht="15.75" customHeight="1" x14ac:dyDescent="0.25">
      <c r="C484" s="2"/>
      <c r="I484" s="2"/>
    </row>
    <row r="485" spans="3:9" ht="15.75" customHeight="1" x14ac:dyDescent="0.25">
      <c r="C485" s="2"/>
      <c r="I485" s="2"/>
    </row>
    <row r="486" spans="3:9" ht="15.75" customHeight="1" x14ac:dyDescent="0.25">
      <c r="C486" s="2"/>
      <c r="I486" s="2"/>
    </row>
    <row r="487" spans="3:9" ht="15.75" customHeight="1" x14ac:dyDescent="0.25">
      <c r="C487" s="2"/>
      <c r="I487" s="2"/>
    </row>
    <row r="488" spans="3:9" ht="15.75" customHeight="1" x14ac:dyDescent="0.25">
      <c r="C488" s="2"/>
      <c r="I488" s="2"/>
    </row>
    <row r="489" spans="3:9" ht="15.75" customHeight="1" x14ac:dyDescent="0.25">
      <c r="C489" s="2"/>
      <c r="I489" s="2"/>
    </row>
    <row r="490" spans="3:9" ht="15.75" customHeight="1" x14ac:dyDescent="0.25">
      <c r="C490" s="2"/>
      <c r="I490" s="2"/>
    </row>
    <row r="491" spans="3:9" ht="15.75" customHeight="1" x14ac:dyDescent="0.25">
      <c r="C491" s="2"/>
      <c r="I491" s="2"/>
    </row>
    <row r="492" spans="3:9" ht="15.75" customHeight="1" x14ac:dyDescent="0.25">
      <c r="C492" s="2"/>
      <c r="I492" s="2"/>
    </row>
    <row r="493" spans="3:9" ht="15.75" customHeight="1" x14ac:dyDescent="0.25">
      <c r="C493" s="2"/>
      <c r="I493" s="2"/>
    </row>
    <row r="494" spans="3:9" ht="15.75" customHeight="1" x14ac:dyDescent="0.25">
      <c r="C494" s="2"/>
      <c r="I494" s="2"/>
    </row>
    <row r="495" spans="3:9" ht="15.75" customHeight="1" x14ac:dyDescent="0.25">
      <c r="C495" s="2"/>
      <c r="I495" s="2"/>
    </row>
    <row r="496" spans="3:9" ht="15.75" customHeight="1" x14ac:dyDescent="0.25">
      <c r="C496" s="2"/>
      <c r="I496" s="2"/>
    </row>
    <row r="497" spans="3:9" ht="15.75" customHeight="1" x14ac:dyDescent="0.25">
      <c r="C497" s="2"/>
      <c r="I497" s="2"/>
    </row>
    <row r="498" spans="3:9" ht="15.75" customHeight="1" x14ac:dyDescent="0.25">
      <c r="C498" s="2"/>
      <c r="I498" s="2"/>
    </row>
    <row r="499" spans="3:9" ht="15.75" customHeight="1" x14ac:dyDescent="0.25">
      <c r="C499" s="2"/>
      <c r="I499" s="2"/>
    </row>
    <row r="500" spans="3:9" ht="15.75" customHeight="1" x14ac:dyDescent="0.25">
      <c r="C500" s="2"/>
      <c r="I500" s="2"/>
    </row>
    <row r="501" spans="3:9" ht="15.75" customHeight="1" x14ac:dyDescent="0.25">
      <c r="C501" s="2"/>
      <c r="I501" s="2"/>
    </row>
    <row r="502" spans="3:9" ht="15.75" customHeight="1" x14ac:dyDescent="0.25">
      <c r="C502" s="2"/>
      <c r="I502" s="2"/>
    </row>
    <row r="503" spans="3:9" ht="15.75" customHeight="1" x14ac:dyDescent="0.25">
      <c r="C503" s="2"/>
      <c r="I503" s="2"/>
    </row>
    <row r="504" spans="3:9" ht="15.75" customHeight="1" x14ac:dyDescent="0.25">
      <c r="C504" s="2"/>
      <c r="I504" s="2"/>
    </row>
    <row r="505" spans="3:9" ht="15.75" customHeight="1" x14ac:dyDescent="0.25">
      <c r="C505" s="2"/>
      <c r="I505" s="2"/>
    </row>
    <row r="506" spans="3:9" ht="15.75" customHeight="1" x14ac:dyDescent="0.25">
      <c r="C506" s="2"/>
      <c r="I506" s="2"/>
    </row>
    <row r="507" spans="3:9" ht="15.75" customHeight="1" x14ac:dyDescent="0.25">
      <c r="C507" s="2"/>
      <c r="I507" s="2"/>
    </row>
    <row r="508" spans="3:9" ht="15.75" customHeight="1" x14ac:dyDescent="0.25">
      <c r="C508" s="2"/>
      <c r="I508" s="2"/>
    </row>
    <row r="509" spans="3:9" ht="15.75" customHeight="1" x14ac:dyDescent="0.25">
      <c r="C509" s="2"/>
      <c r="I509" s="2"/>
    </row>
    <row r="510" spans="3:9" ht="15.75" customHeight="1" x14ac:dyDescent="0.25">
      <c r="C510" s="2"/>
      <c r="I510" s="2"/>
    </row>
    <row r="511" spans="3:9" ht="15.75" customHeight="1" x14ac:dyDescent="0.25">
      <c r="C511" s="2"/>
      <c r="I511" s="2"/>
    </row>
    <row r="512" spans="3:9" ht="15.75" customHeight="1" x14ac:dyDescent="0.25">
      <c r="C512" s="2"/>
      <c r="I512" s="2"/>
    </row>
    <row r="513" spans="3:9" ht="15.75" customHeight="1" x14ac:dyDescent="0.25">
      <c r="C513" s="2"/>
      <c r="I513" s="2"/>
    </row>
    <row r="514" spans="3:9" ht="15.75" customHeight="1" x14ac:dyDescent="0.25">
      <c r="C514" s="2"/>
      <c r="I514" s="2"/>
    </row>
    <row r="515" spans="3:9" ht="15.75" customHeight="1" x14ac:dyDescent="0.25">
      <c r="C515" s="2"/>
      <c r="I515" s="2"/>
    </row>
    <row r="516" spans="3:9" ht="15.75" customHeight="1" x14ac:dyDescent="0.25">
      <c r="C516" s="2"/>
      <c r="I516" s="2"/>
    </row>
    <row r="517" spans="3:9" ht="15.75" customHeight="1" x14ac:dyDescent="0.25">
      <c r="C517" s="2"/>
      <c r="I517" s="2"/>
    </row>
    <row r="518" spans="3:9" ht="15.75" customHeight="1" x14ac:dyDescent="0.25">
      <c r="C518" s="2"/>
      <c r="I518" s="2"/>
    </row>
    <row r="519" spans="3:9" ht="15.75" customHeight="1" x14ac:dyDescent="0.25">
      <c r="C519" s="2"/>
      <c r="I519" s="2"/>
    </row>
    <row r="520" spans="3:9" ht="15.75" customHeight="1" x14ac:dyDescent="0.25">
      <c r="C520" s="2"/>
      <c r="I520" s="2"/>
    </row>
    <row r="521" spans="3:9" ht="15.75" customHeight="1" x14ac:dyDescent="0.25">
      <c r="C521" s="2"/>
      <c r="I521" s="2"/>
    </row>
    <row r="522" spans="3:9" ht="15.75" customHeight="1" x14ac:dyDescent="0.25">
      <c r="C522" s="2"/>
      <c r="I522" s="2"/>
    </row>
    <row r="523" spans="3:9" ht="15.75" customHeight="1" x14ac:dyDescent="0.25">
      <c r="C523" s="2"/>
      <c r="I523" s="2"/>
    </row>
    <row r="524" spans="3:9" ht="15.75" customHeight="1" x14ac:dyDescent="0.25">
      <c r="C524" s="2"/>
      <c r="I524" s="2"/>
    </row>
    <row r="525" spans="3:9" ht="15.75" customHeight="1" x14ac:dyDescent="0.25">
      <c r="C525" s="2"/>
      <c r="I525" s="2"/>
    </row>
    <row r="526" spans="3:9" ht="15.75" customHeight="1" x14ac:dyDescent="0.25">
      <c r="C526" s="2"/>
      <c r="I526" s="2"/>
    </row>
    <row r="527" spans="3:9" ht="15.75" customHeight="1" x14ac:dyDescent="0.25">
      <c r="C527" s="2"/>
      <c r="I527" s="2"/>
    </row>
    <row r="528" spans="3:9" ht="15.75" customHeight="1" x14ac:dyDescent="0.25">
      <c r="C528" s="2"/>
      <c r="I528" s="2"/>
    </row>
    <row r="529" spans="3:9" ht="15.75" customHeight="1" x14ac:dyDescent="0.25">
      <c r="C529" s="2"/>
      <c r="I529" s="2"/>
    </row>
    <row r="530" spans="3:9" ht="15.75" customHeight="1" x14ac:dyDescent="0.25">
      <c r="C530" s="2"/>
      <c r="I530" s="2"/>
    </row>
    <row r="531" spans="3:9" ht="15.75" customHeight="1" x14ac:dyDescent="0.25">
      <c r="C531" s="2"/>
      <c r="I531" s="2"/>
    </row>
    <row r="532" spans="3:9" ht="15.75" customHeight="1" x14ac:dyDescent="0.25">
      <c r="C532" s="2"/>
      <c r="I532" s="2"/>
    </row>
    <row r="533" spans="3:9" ht="15.75" customHeight="1" x14ac:dyDescent="0.25">
      <c r="C533" s="2"/>
      <c r="I533" s="2"/>
    </row>
    <row r="534" spans="3:9" ht="15.75" customHeight="1" x14ac:dyDescent="0.25">
      <c r="C534" s="2"/>
      <c r="I534" s="2"/>
    </row>
    <row r="535" spans="3:9" ht="15.75" customHeight="1" x14ac:dyDescent="0.25">
      <c r="C535" s="2"/>
      <c r="I535" s="2"/>
    </row>
    <row r="536" spans="3:9" ht="15.75" customHeight="1" x14ac:dyDescent="0.25">
      <c r="C536" s="2"/>
      <c r="I536" s="2"/>
    </row>
    <row r="537" spans="3:9" ht="15.75" customHeight="1" x14ac:dyDescent="0.25">
      <c r="C537" s="2"/>
      <c r="I537" s="2"/>
    </row>
    <row r="538" spans="3:9" ht="15.75" customHeight="1" x14ac:dyDescent="0.25">
      <c r="C538" s="2"/>
      <c r="I538" s="2"/>
    </row>
    <row r="539" spans="3:9" ht="15.75" customHeight="1" x14ac:dyDescent="0.25">
      <c r="C539" s="2"/>
      <c r="I539" s="2"/>
    </row>
    <row r="540" spans="3:9" ht="15.75" customHeight="1" x14ac:dyDescent="0.25">
      <c r="C540" s="2"/>
      <c r="I540" s="2"/>
    </row>
    <row r="541" spans="3:9" ht="15.75" customHeight="1" x14ac:dyDescent="0.25">
      <c r="C541" s="2"/>
      <c r="I541" s="2"/>
    </row>
    <row r="542" spans="3:9" ht="15.75" customHeight="1" x14ac:dyDescent="0.25">
      <c r="C542" s="2"/>
      <c r="I542" s="2"/>
    </row>
    <row r="543" spans="3:9" ht="15.75" customHeight="1" x14ac:dyDescent="0.25">
      <c r="C543" s="2"/>
      <c r="I543" s="2"/>
    </row>
    <row r="544" spans="3:9" ht="15.75" customHeight="1" x14ac:dyDescent="0.25">
      <c r="C544" s="2"/>
      <c r="I544" s="2"/>
    </row>
    <row r="545" spans="3:9" ht="15.75" customHeight="1" x14ac:dyDescent="0.25">
      <c r="C545" s="2"/>
      <c r="I545" s="2"/>
    </row>
    <row r="546" spans="3:9" ht="15.75" customHeight="1" x14ac:dyDescent="0.25">
      <c r="C546" s="2"/>
      <c r="I546" s="2"/>
    </row>
    <row r="547" spans="3:9" ht="15.75" customHeight="1" x14ac:dyDescent="0.25">
      <c r="C547" s="2"/>
      <c r="I547" s="2"/>
    </row>
    <row r="548" spans="3:9" ht="15.75" customHeight="1" x14ac:dyDescent="0.25">
      <c r="C548" s="2"/>
      <c r="I548" s="2"/>
    </row>
    <row r="549" spans="3:9" ht="15.75" customHeight="1" x14ac:dyDescent="0.25">
      <c r="C549" s="2"/>
      <c r="I549" s="2"/>
    </row>
    <row r="550" spans="3:9" ht="15.75" customHeight="1" x14ac:dyDescent="0.25">
      <c r="C550" s="2"/>
      <c r="I550" s="2"/>
    </row>
    <row r="551" spans="3:9" ht="15.75" customHeight="1" x14ac:dyDescent="0.25">
      <c r="C551" s="2"/>
      <c r="I551" s="2"/>
    </row>
    <row r="552" spans="3:9" ht="15.75" customHeight="1" x14ac:dyDescent="0.25">
      <c r="C552" s="2"/>
      <c r="I552" s="2"/>
    </row>
    <row r="553" spans="3:9" ht="15.75" customHeight="1" x14ac:dyDescent="0.25">
      <c r="C553" s="2"/>
      <c r="I553" s="2"/>
    </row>
    <row r="554" spans="3:9" ht="15.75" customHeight="1" x14ac:dyDescent="0.25">
      <c r="C554" s="2"/>
      <c r="I554" s="2"/>
    </row>
    <row r="555" spans="3:9" ht="15.75" customHeight="1" x14ac:dyDescent="0.25">
      <c r="C555" s="2"/>
      <c r="I555" s="2"/>
    </row>
    <row r="556" spans="3:9" ht="15.75" customHeight="1" x14ac:dyDescent="0.25">
      <c r="C556" s="2"/>
      <c r="I556" s="2"/>
    </row>
    <row r="557" spans="3:9" ht="15.75" customHeight="1" x14ac:dyDescent="0.25">
      <c r="C557" s="2"/>
      <c r="I557" s="2"/>
    </row>
    <row r="558" spans="3:9" ht="15.75" customHeight="1" x14ac:dyDescent="0.25">
      <c r="C558" s="2"/>
      <c r="I558" s="2"/>
    </row>
    <row r="559" spans="3:9" ht="15.75" customHeight="1" x14ac:dyDescent="0.25">
      <c r="C559" s="2"/>
      <c r="I559" s="2"/>
    </row>
    <row r="560" spans="3:9" ht="15.75" customHeight="1" x14ac:dyDescent="0.25">
      <c r="C560" s="2"/>
      <c r="I560" s="2"/>
    </row>
    <row r="561" spans="3:9" ht="15.75" customHeight="1" x14ac:dyDescent="0.25">
      <c r="C561" s="2"/>
      <c r="I561" s="2"/>
    </row>
    <row r="562" spans="3:9" ht="15.75" customHeight="1" x14ac:dyDescent="0.25">
      <c r="C562" s="2"/>
      <c r="I562" s="2"/>
    </row>
    <row r="563" spans="3:9" ht="15.75" customHeight="1" x14ac:dyDescent="0.25">
      <c r="C563" s="2"/>
      <c r="I563" s="2"/>
    </row>
    <row r="564" spans="3:9" ht="15.75" customHeight="1" x14ac:dyDescent="0.25">
      <c r="C564" s="2"/>
      <c r="I564" s="2"/>
    </row>
    <row r="565" spans="3:9" ht="15.75" customHeight="1" x14ac:dyDescent="0.25">
      <c r="C565" s="2"/>
      <c r="I565" s="2"/>
    </row>
    <row r="566" spans="3:9" ht="15.75" customHeight="1" x14ac:dyDescent="0.25">
      <c r="C566" s="2"/>
      <c r="I566" s="2"/>
    </row>
    <row r="567" spans="3:9" ht="15.75" customHeight="1" x14ac:dyDescent="0.25">
      <c r="C567" s="2"/>
      <c r="I567" s="2"/>
    </row>
    <row r="568" spans="3:9" ht="15.75" customHeight="1" x14ac:dyDescent="0.25">
      <c r="C568" s="2"/>
      <c r="I568" s="2"/>
    </row>
    <row r="569" spans="3:9" ht="15.75" customHeight="1" x14ac:dyDescent="0.25">
      <c r="C569" s="2"/>
      <c r="I569" s="2"/>
    </row>
    <row r="570" spans="3:9" ht="15.75" customHeight="1" x14ac:dyDescent="0.25">
      <c r="C570" s="2"/>
      <c r="I570" s="2"/>
    </row>
    <row r="571" spans="3:9" ht="15.75" customHeight="1" x14ac:dyDescent="0.25">
      <c r="C571" s="2"/>
      <c r="I571" s="2"/>
    </row>
    <row r="572" spans="3:9" ht="15.75" customHeight="1" x14ac:dyDescent="0.25">
      <c r="C572" s="2"/>
      <c r="I572" s="2"/>
    </row>
    <row r="573" spans="3:9" ht="15.75" customHeight="1" x14ac:dyDescent="0.25">
      <c r="C573" s="2"/>
      <c r="I573" s="2"/>
    </row>
    <row r="574" spans="3:9" ht="15.75" customHeight="1" x14ac:dyDescent="0.25">
      <c r="C574" s="2"/>
      <c r="I574" s="2"/>
    </row>
    <row r="575" spans="3:9" ht="15.75" customHeight="1" x14ac:dyDescent="0.25">
      <c r="C575" s="2"/>
      <c r="I575" s="2"/>
    </row>
    <row r="576" spans="3:9" ht="15.75" customHeight="1" x14ac:dyDescent="0.25">
      <c r="C576" s="2"/>
      <c r="I576" s="2"/>
    </row>
    <row r="577" spans="3:9" ht="15.75" customHeight="1" x14ac:dyDescent="0.25">
      <c r="C577" s="2"/>
      <c r="I577" s="2"/>
    </row>
    <row r="578" spans="3:9" ht="15.75" customHeight="1" x14ac:dyDescent="0.25">
      <c r="C578" s="2"/>
      <c r="I578" s="2"/>
    </row>
    <row r="579" spans="3:9" ht="15.75" customHeight="1" x14ac:dyDescent="0.25">
      <c r="C579" s="2"/>
      <c r="I579" s="2"/>
    </row>
    <row r="580" spans="3:9" ht="15.75" customHeight="1" x14ac:dyDescent="0.25">
      <c r="C580" s="2"/>
      <c r="I580" s="2"/>
    </row>
    <row r="581" spans="3:9" ht="15.75" customHeight="1" x14ac:dyDescent="0.25">
      <c r="C581" s="2"/>
      <c r="I581" s="2"/>
    </row>
    <row r="582" spans="3:9" ht="15.75" customHeight="1" x14ac:dyDescent="0.25">
      <c r="C582" s="2"/>
      <c r="I582" s="2"/>
    </row>
    <row r="583" spans="3:9" ht="15.75" customHeight="1" x14ac:dyDescent="0.25">
      <c r="C583" s="2"/>
      <c r="I583" s="2"/>
    </row>
    <row r="584" spans="3:9" ht="15.75" customHeight="1" x14ac:dyDescent="0.25">
      <c r="C584" s="2"/>
      <c r="I584" s="2"/>
    </row>
    <row r="585" spans="3:9" ht="15.75" customHeight="1" x14ac:dyDescent="0.25">
      <c r="C585" s="2"/>
      <c r="I585" s="2"/>
    </row>
    <row r="586" spans="3:9" ht="15.75" customHeight="1" x14ac:dyDescent="0.25">
      <c r="C586" s="2"/>
      <c r="I586" s="2"/>
    </row>
    <row r="587" spans="3:9" ht="15.75" customHeight="1" x14ac:dyDescent="0.25">
      <c r="C587" s="2"/>
      <c r="I587" s="2"/>
    </row>
    <row r="588" spans="3:9" ht="15.75" customHeight="1" x14ac:dyDescent="0.25">
      <c r="C588" s="2"/>
      <c r="I588" s="2"/>
    </row>
    <row r="589" spans="3:9" ht="15.75" customHeight="1" x14ac:dyDescent="0.25">
      <c r="C589" s="2"/>
      <c r="I589" s="2"/>
    </row>
    <row r="590" spans="3:9" ht="15.75" customHeight="1" x14ac:dyDescent="0.25">
      <c r="C590" s="2"/>
      <c r="I590" s="2"/>
    </row>
    <row r="591" spans="3:9" ht="15.75" customHeight="1" x14ac:dyDescent="0.25">
      <c r="C591" s="2"/>
      <c r="I591" s="2"/>
    </row>
    <row r="592" spans="3:9" ht="15.75" customHeight="1" x14ac:dyDescent="0.25">
      <c r="C592" s="2"/>
      <c r="I592" s="2"/>
    </row>
    <row r="593" spans="3:9" ht="15.75" customHeight="1" x14ac:dyDescent="0.25">
      <c r="C593" s="2"/>
      <c r="I593" s="2"/>
    </row>
    <row r="594" spans="3:9" ht="15.75" customHeight="1" x14ac:dyDescent="0.25">
      <c r="C594" s="2"/>
      <c r="I594" s="2"/>
    </row>
    <row r="595" spans="3:9" ht="15.75" customHeight="1" x14ac:dyDescent="0.25">
      <c r="C595" s="2"/>
      <c r="I595" s="2"/>
    </row>
    <row r="596" spans="3:9" ht="15.75" customHeight="1" x14ac:dyDescent="0.25">
      <c r="C596" s="2"/>
      <c r="I596" s="2"/>
    </row>
    <row r="597" spans="3:9" ht="15.75" customHeight="1" x14ac:dyDescent="0.25">
      <c r="C597" s="2"/>
      <c r="I597" s="2"/>
    </row>
    <row r="598" spans="3:9" ht="15.75" customHeight="1" x14ac:dyDescent="0.25">
      <c r="C598" s="2"/>
      <c r="I598" s="2"/>
    </row>
    <row r="599" spans="3:9" ht="15.75" customHeight="1" x14ac:dyDescent="0.25">
      <c r="C599" s="2"/>
      <c r="I599" s="2"/>
    </row>
    <row r="600" spans="3:9" ht="15.75" customHeight="1" x14ac:dyDescent="0.25">
      <c r="C600" s="2"/>
      <c r="I600" s="2"/>
    </row>
    <row r="601" spans="3:9" ht="15.75" customHeight="1" x14ac:dyDescent="0.25">
      <c r="C601" s="2"/>
      <c r="I601" s="2"/>
    </row>
    <row r="602" spans="3:9" ht="15.75" customHeight="1" x14ac:dyDescent="0.25">
      <c r="C602" s="2"/>
      <c r="I602" s="2"/>
    </row>
    <row r="603" spans="3:9" ht="15.75" customHeight="1" x14ac:dyDescent="0.25">
      <c r="C603" s="2"/>
      <c r="I603" s="2"/>
    </row>
    <row r="604" spans="3:9" ht="15.75" customHeight="1" x14ac:dyDescent="0.25">
      <c r="C604" s="2"/>
      <c r="I604" s="2"/>
    </row>
    <row r="605" spans="3:9" ht="15.75" customHeight="1" x14ac:dyDescent="0.25">
      <c r="C605" s="2"/>
      <c r="I605" s="2"/>
    </row>
    <row r="606" spans="3:9" ht="15.75" customHeight="1" x14ac:dyDescent="0.25">
      <c r="C606" s="2"/>
      <c r="I606" s="2"/>
    </row>
    <row r="607" spans="3:9" ht="15.75" customHeight="1" x14ac:dyDescent="0.25">
      <c r="C607" s="2"/>
      <c r="I607" s="2"/>
    </row>
    <row r="608" spans="3:9" ht="15.75" customHeight="1" x14ac:dyDescent="0.25">
      <c r="C608" s="2"/>
      <c r="I608" s="2"/>
    </row>
    <row r="609" spans="3:9" ht="15.75" customHeight="1" x14ac:dyDescent="0.25">
      <c r="C609" s="2"/>
      <c r="I609" s="2"/>
    </row>
    <row r="610" spans="3:9" ht="15.75" customHeight="1" x14ac:dyDescent="0.25">
      <c r="C610" s="2"/>
      <c r="I610" s="2"/>
    </row>
    <row r="611" spans="3:9" ht="15.75" customHeight="1" x14ac:dyDescent="0.25">
      <c r="C611" s="2"/>
      <c r="I611" s="2"/>
    </row>
    <row r="612" spans="3:9" ht="15.75" customHeight="1" x14ac:dyDescent="0.25">
      <c r="C612" s="2"/>
      <c r="I612" s="2"/>
    </row>
    <row r="613" spans="3:9" ht="15.75" customHeight="1" x14ac:dyDescent="0.25">
      <c r="C613" s="2"/>
      <c r="I613" s="2"/>
    </row>
    <row r="614" spans="3:9" ht="15.75" customHeight="1" x14ac:dyDescent="0.25">
      <c r="C614" s="2"/>
      <c r="I614" s="2"/>
    </row>
    <row r="615" spans="3:9" ht="15.75" customHeight="1" x14ac:dyDescent="0.25">
      <c r="C615" s="2"/>
      <c r="I615" s="2"/>
    </row>
    <row r="616" spans="3:9" ht="15.75" customHeight="1" x14ac:dyDescent="0.25">
      <c r="C616" s="2"/>
      <c r="I616" s="2"/>
    </row>
    <row r="617" spans="3:9" ht="15.75" customHeight="1" x14ac:dyDescent="0.25">
      <c r="C617" s="2"/>
      <c r="I617" s="2"/>
    </row>
    <row r="618" spans="3:9" ht="15.75" customHeight="1" x14ac:dyDescent="0.25">
      <c r="C618" s="2"/>
      <c r="I618" s="2"/>
    </row>
    <row r="619" spans="3:9" ht="15.75" customHeight="1" x14ac:dyDescent="0.25">
      <c r="C619" s="2"/>
      <c r="I619" s="2"/>
    </row>
    <row r="620" spans="3:9" ht="15.75" customHeight="1" x14ac:dyDescent="0.25">
      <c r="C620" s="2"/>
      <c r="I620" s="2"/>
    </row>
    <row r="621" spans="3:9" ht="15.75" customHeight="1" x14ac:dyDescent="0.25">
      <c r="C621" s="2"/>
      <c r="I621" s="2"/>
    </row>
    <row r="622" spans="3:9" ht="15.75" customHeight="1" x14ac:dyDescent="0.25">
      <c r="C622" s="2"/>
      <c r="I622" s="2"/>
    </row>
    <row r="623" spans="3:9" ht="15.75" customHeight="1" x14ac:dyDescent="0.25">
      <c r="C623" s="2"/>
      <c r="I623" s="2"/>
    </row>
    <row r="624" spans="3:9" ht="15.75" customHeight="1" x14ac:dyDescent="0.25">
      <c r="C624" s="2"/>
      <c r="I624" s="2"/>
    </row>
    <row r="625" spans="3:9" ht="15.75" customHeight="1" x14ac:dyDescent="0.25">
      <c r="C625" s="2"/>
      <c r="I625" s="2"/>
    </row>
    <row r="626" spans="3:9" ht="15.75" customHeight="1" x14ac:dyDescent="0.25">
      <c r="C626" s="2"/>
      <c r="I626" s="2"/>
    </row>
    <row r="627" spans="3:9" ht="15.75" customHeight="1" x14ac:dyDescent="0.25">
      <c r="C627" s="2"/>
      <c r="I627" s="2"/>
    </row>
    <row r="628" spans="3:9" ht="15.75" customHeight="1" x14ac:dyDescent="0.25">
      <c r="C628" s="2"/>
      <c r="I628" s="2"/>
    </row>
    <row r="629" spans="3:9" ht="15.75" customHeight="1" x14ac:dyDescent="0.25">
      <c r="C629" s="2"/>
      <c r="I629" s="2"/>
    </row>
    <row r="630" spans="3:9" ht="15.75" customHeight="1" x14ac:dyDescent="0.25">
      <c r="C630" s="2"/>
      <c r="I630" s="2"/>
    </row>
    <row r="631" spans="3:9" ht="15.75" customHeight="1" x14ac:dyDescent="0.25">
      <c r="C631" s="2"/>
      <c r="I631" s="2"/>
    </row>
    <row r="632" spans="3:9" ht="15.75" customHeight="1" x14ac:dyDescent="0.25">
      <c r="C632" s="2"/>
      <c r="I632" s="2"/>
    </row>
    <row r="633" spans="3:9" ht="15.75" customHeight="1" x14ac:dyDescent="0.25">
      <c r="C633" s="2"/>
      <c r="I633" s="2"/>
    </row>
    <row r="634" spans="3:9" ht="15.75" customHeight="1" x14ac:dyDescent="0.25">
      <c r="C634" s="2"/>
      <c r="I634" s="2"/>
    </row>
    <row r="635" spans="3:9" ht="15.75" customHeight="1" x14ac:dyDescent="0.25">
      <c r="C635" s="2"/>
      <c r="I635" s="2"/>
    </row>
    <row r="636" spans="3:9" ht="15.75" customHeight="1" x14ac:dyDescent="0.25">
      <c r="C636" s="2"/>
      <c r="I636" s="2"/>
    </row>
    <row r="637" spans="3:9" ht="15.75" customHeight="1" x14ac:dyDescent="0.25">
      <c r="C637" s="2"/>
      <c r="I637" s="2"/>
    </row>
    <row r="638" spans="3:9" ht="15.75" customHeight="1" x14ac:dyDescent="0.25">
      <c r="C638" s="2"/>
      <c r="I638" s="2"/>
    </row>
    <row r="639" spans="3:9" ht="15.75" customHeight="1" x14ac:dyDescent="0.25">
      <c r="C639" s="2"/>
      <c r="I639" s="2"/>
    </row>
    <row r="640" spans="3:9" ht="15.75" customHeight="1" x14ac:dyDescent="0.25">
      <c r="C640" s="2"/>
      <c r="I640" s="2"/>
    </row>
    <row r="641" spans="3:9" ht="15.75" customHeight="1" x14ac:dyDescent="0.25">
      <c r="C641" s="2"/>
      <c r="I641" s="2"/>
    </row>
    <row r="642" spans="3:9" ht="15.75" customHeight="1" x14ac:dyDescent="0.25">
      <c r="C642" s="2"/>
      <c r="I642" s="2"/>
    </row>
    <row r="643" spans="3:9" ht="15.75" customHeight="1" x14ac:dyDescent="0.25">
      <c r="C643" s="2"/>
      <c r="I643" s="2"/>
    </row>
    <row r="644" spans="3:9" ht="15.75" customHeight="1" x14ac:dyDescent="0.25">
      <c r="C644" s="2"/>
      <c r="I644" s="2"/>
    </row>
    <row r="645" spans="3:9" ht="15.75" customHeight="1" x14ac:dyDescent="0.25">
      <c r="C645" s="2"/>
      <c r="I645" s="2"/>
    </row>
    <row r="646" spans="3:9" ht="15.75" customHeight="1" x14ac:dyDescent="0.25">
      <c r="C646" s="2"/>
      <c r="I646" s="2"/>
    </row>
    <row r="647" spans="3:9" ht="15.75" customHeight="1" x14ac:dyDescent="0.25">
      <c r="C647" s="2"/>
      <c r="I647" s="2"/>
    </row>
    <row r="648" spans="3:9" ht="15.75" customHeight="1" x14ac:dyDescent="0.25">
      <c r="C648" s="2"/>
      <c r="I648" s="2"/>
    </row>
    <row r="649" spans="3:9" ht="15.75" customHeight="1" x14ac:dyDescent="0.25">
      <c r="C649" s="2"/>
      <c r="I649" s="2"/>
    </row>
    <row r="650" spans="3:9" ht="15.75" customHeight="1" x14ac:dyDescent="0.25">
      <c r="C650" s="2"/>
      <c r="I650" s="2"/>
    </row>
    <row r="651" spans="3:9" ht="15.75" customHeight="1" x14ac:dyDescent="0.25">
      <c r="C651" s="2"/>
      <c r="I651" s="2"/>
    </row>
    <row r="652" spans="3:9" ht="15.75" customHeight="1" x14ac:dyDescent="0.25">
      <c r="C652" s="2"/>
      <c r="I652" s="2"/>
    </row>
    <row r="653" spans="3:9" ht="15.75" customHeight="1" x14ac:dyDescent="0.25">
      <c r="C653" s="2"/>
      <c r="I653" s="2"/>
    </row>
    <row r="654" spans="3:9" ht="15.75" customHeight="1" x14ac:dyDescent="0.25">
      <c r="C654" s="2"/>
      <c r="I654" s="2"/>
    </row>
    <row r="655" spans="3:9" ht="15.75" customHeight="1" x14ac:dyDescent="0.25">
      <c r="C655" s="2"/>
      <c r="I655" s="2"/>
    </row>
    <row r="656" spans="3:9" ht="15.75" customHeight="1" x14ac:dyDescent="0.25">
      <c r="C656" s="2"/>
      <c r="I656" s="2"/>
    </row>
    <row r="657" spans="3:9" ht="15.75" customHeight="1" x14ac:dyDescent="0.25">
      <c r="C657" s="2"/>
      <c r="I657" s="2"/>
    </row>
    <row r="658" spans="3:9" ht="15.75" customHeight="1" x14ac:dyDescent="0.25">
      <c r="C658" s="2"/>
      <c r="I658" s="2"/>
    </row>
    <row r="659" spans="3:9" ht="15.75" customHeight="1" x14ac:dyDescent="0.25">
      <c r="C659" s="2"/>
      <c r="I659" s="2"/>
    </row>
    <row r="660" spans="3:9" ht="15.75" customHeight="1" x14ac:dyDescent="0.25">
      <c r="C660" s="2"/>
      <c r="I660" s="2"/>
    </row>
    <row r="661" spans="3:9" ht="15.75" customHeight="1" x14ac:dyDescent="0.25">
      <c r="C661" s="2"/>
      <c r="I661" s="2"/>
    </row>
    <row r="662" spans="3:9" ht="15.75" customHeight="1" x14ac:dyDescent="0.25">
      <c r="C662" s="2"/>
      <c r="I662" s="2"/>
    </row>
    <row r="663" spans="3:9" ht="15.75" customHeight="1" x14ac:dyDescent="0.25">
      <c r="C663" s="2"/>
      <c r="I663" s="2"/>
    </row>
    <row r="664" spans="3:9" ht="15.75" customHeight="1" x14ac:dyDescent="0.25">
      <c r="C664" s="2"/>
      <c r="I664" s="2"/>
    </row>
    <row r="665" spans="3:9" ht="15.75" customHeight="1" x14ac:dyDescent="0.25">
      <c r="C665" s="2"/>
      <c r="I665" s="2"/>
    </row>
    <row r="666" spans="3:9" ht="15.75" customHeight="1" x14ac:dyDescent="0.25">
      <c r="C666" s="2"/>
      <c r="I666" s="2"/>
    </row>
    <row r="667" spans="3:9" ht="15.75" customHeight="1" x14ac:dyDescent="0.25">
      <c r="C667" s="2"/>
      <c r="I667" s="2"/>
    </row>
    <row r="668" spans="3:9" ht="15.75" customHeight="1" x14ac:dyDescent="0.25">
      <c r="C668" s="2"/>
      <c r="I668" s="2"/>
    </row>
    <row r="669" spans="3:9" ht="15.75" customHeight="1" x14ac:dyDescent="0.25">
      <c r="C669" s="2"/>
      <c r="I669" s="2"/>
    </row>
    <row r="670" spans="3:9" ht="15.75" customHeight="1" x14ac:dyDescent="0.25">
      <c r="C670" s="2"/>
      <c r="I670" s="2"/>
    </row>
    <row r="671" spans="3:9" ht="15.75" customHeight="1" x14ac:dyDescent="0.25">
      <c r="C671" s="2"/>
      <c r="I671" s="2"/>
    </row>
    <row r="672" spans="3:9" ht="15.75" customHeight="1" x14ac:dyDescent="0.25">
      <c r="C672" s="2"/>
      <c r="I672" s="2"/>
    </row>
    <row r="673" spans="3:9" ht="15.75" customHeight="1" x14ac:dyDescent="0.25">
      <c r="C673" s="2"/>
      <c r="I673" s="2"/>
    </row>
    <row r="674" spans="3:9" ht="15.75" customHeight="1" x14ac:dyDescent="0.25">
      <c r="C674" s="2"/>
      <c r="I674" s="2"/>
    </row>
    <row r="675" spans="3:9" ht="15.75" customHeight="1" x14ac:dyDescent="0.25">
      <c r="C675" s="2"/>
      <c r="I675" s="2"/>
    </row>
    <row r="676" spans="3:9" ht="15.75" customHeight="1" x14ac:dyDescent="0.25">
      <c r="C676" s="2"/>
      <c r="I676" s="2"/>
    </row>
    <row r="677" spans="3:9" ht="15.75" customHeight="1" x14ac:dyDescent="0.25">
      <c r="C677" s="2"/>
      <c r="I677" s="2"/>
    </row>
    <row r="678" spans="3:9" ht="15.75" customHeight="1" x14ac:dyDescent="0.25">
      <c r="C678" s="2"/>
      <c r="I678" s="2"/>
    </row>
    <row r="679" spans="3:9" ht="15.75" customHeight="1" x14ac:dyDescent="0.25">
      <c r="C679" s="2"/>
      <c r="I679" s="2"/>
    </row>
    <row r="680" spans="3:9" ht="15.75" customHeight="1" x14ac:dyDescent="0.25">
      <c r="C680" s="2"/>
      <c r="I680" s="2"/>
    </row>
    <row r="681" spans="3:9" ht="15.75" customHeight="1" x14ac:dyDescent="0.25">
      <c r="C681" s="2"/>
      <c r="I681" s="2"/>
    </row>
    <row r="682" spans="3:9" ht="15.75" customHeight="1" x14ac:dyDescent="0.25">
      <c r="C682" s="2"/>
      <c r="I682" s="2"/>
    </row>
    <row r="683" spans="3:9" ht="15.75" customHeight="1" x14ac:dyDescent="0.25">
      <c r="C683" s="2"/>
      <c r="I683" s="2"/>
    </row>
    <row r="684" spans="3:9" ht="15.75" customHeight="1" x14ac:dyDescent="0.25">
      <c r="C684" s="2"/>
      <c r="I684" s="2"/>
    </row>
    <row r="685" spans="3:9" ht="15.75" customHeight="1" x14ac:dyDescent="0.25">
      <c r="C685" s="2"/>
      <c r="I685" s="2"/>
    </row>
    <row r="686" spans="3:9" ht="15.75" customHeight="1" x14ac:dyDescent="0.25">
      <c r="C686" s="2"/>
      <c r="I686" s="2"/>
    </row>
    <row r="687" spans="3:9" ht="15.75" customHeight="1" x14ac:dyDescent="0.25">
      <c r="C687" s="2"/>
      <c r="I687" s="2"/>
    </row>
    <row r="688" spans="3:9" ht="15.75" customHeight="1" x14ac:dyDescent="0.25">
      <c r="C688" s="2"/>
      <c r="I688" s="2"/>
    </row>
    <row r="689" spans="3:9" ht="15.75" customHeight="1" x14ac:dyDescent="0.25">
      <c r="C689" s="2"/>
      <c r="I689" s="2"/>
    </row>
    <row r="690" spans="3:9" ht="15.75" customHeight="1" x14ac:dyDescent="0.25">
      <c r="C690" s="2"/>
      <c r="I690" s="2"/>
    </row>
    <row r="691" spans="3:9" ht="15.75" customHeight="1" x14ac:dyDescent="0.25">
      <c r="C691" s="2"/>
      <c r="I691" s="2"/>
    </row>
    <row r="692" spans="3:9" ht="15.75" customHeight="1" x14ac:dyDescent="0.25">
      <c r="C692" s="2"/>
      <c r="I692" s="2"/>
    </row>
    <row r="693" spans="3:9" ht="15.75" customHeight="1" x14ac:dyDescent="0.25">
      <c r="C693" s="2"/>
      <c r="I693" s="2"/>
    </row>
    <row r="694" spans="3:9" ht="15.75" customHeight="1" x14ac:dyDescent="0.25">
      <c r="C694" s="2"/>
      <c r="I694" s="2"/>
    </row>
    <row r="695" spans="3:9" ht="15.75" customHeight="1" x14ac:dyDescent="0.25">
      <c r="C695" s="2"/>
      <c r="I695" s="2"/>
    </row>
    <row r="696" spans="3:9" ht="15.75" customHeight="1" x14ac:dyDescent="0.25">
      <c r="C696" s="2"/>
      <c r="I696" s="2"/>
    </row>
    <row r="697" spans="3:9" ht="15.75" customHeight="1" x14ac:dyDescent="0.25">
      <c r="C697" s="2"/>
      <c r="I697" s="2"/>
    </row>
    <row r="698" spans="3:9" ht="15.75" customHeight="1" x14ac:dyDescent="0.25">
      <c r="C698" s="2"/>
      <c r="I698" s="2"/>
    </row>
    <row r="699" spans="3:9" ht="15.75" customHeight="1" x14ac:dyDescent="0.25">
      <c r="C699" s="2"/>
      <c r="I699" s="2"/>
    </row>
    <row r="700" spans="3:9" ht="15.75" customHeight="1" x14ac:dyDescent="0.25">
      <c r="C700" s="2"/>
      <c r="I700" s="2"/>
    </row>
    <row r="701" spans="3:9" ht="15.75" customHeight="1" x14ac:dyDescent="0.25">
      <c r="C701" s="2"/>
      <c r="I701" s="2"/>
    </row>
    <row r="702" spans="3:9" ht="15.75" customHeight="1" x14ac:dyDescent="0.25">
      <c r="C702" s="2"/>
      <c r="I702" s="2"/>
    </row>
    <row r="703" spans="3:9" ht="15.75" customHeight="1" x14ac:dyDescent="0.25">
      <c r="C703" s="2"/>
      <c r="I703" s="2"/>
    </row>
    <row r="704" spans="3:9" ht="15.75" customHeight="1" x14ac:dyDescent="0.25">
      <c r="C704" s="2"/>
      <c r="I704" s="2"/>
    </row>
    <row r="705" spans="3:9" ht="15.75" customHeight="1" x14ac:dyDescent="0.25">
      <c r="C705" s="2"/>
      <c r="I705" s="2"/>
    </row>
    <row r="706" spans="3:9" ht="15.75" customHeight="1" x14ac:dyDescent="0.25">
      <c r="C706" s="2"/>
      <c r="I706" s="2"/>
    </row>
    <row r="707" spans="3:9" ht="15.75" customHeight="1" x14ac:dyDescent="0.25">
      <c r="C707" s="2"/>
      <c r="I707" s="2"/>
    </row>
    <row r="708" spans="3:9" ht="15.75" customHeight="1" x14ac:dyDescent="0.25">
      <c r="C708" s="2"/>
      <c r="I708" s="2"/>
    </row>
    <row r="709" spans="3:9" ht="15.75" customHeight="1" x14ac:dyDescent="0.25">
      <c r="C709" s="2"/>
      <c r="I709" s="2"/>
    </row>
    <row r="710" spans="3:9" ht="15.75" customHeight="1" x14ac:dyDescent="0.25">
      <c r="C710" s="2"/>
      <c r="I710" s="2"/>
    </row>
    <row r="711" spans="3:9" ht="15.75" customHeight="1" x14ac:dyDescent="0.25">
      <c r="C711" s="2"/>
      <c r="I711" s="2"/>
    </row>
    <row r="712" spans="3:9" ht="15.75" customHeight="1" x14ac:dyDescent="0.25">
      <c r="C712" s="2"/>
      <c r="I712" s="2"/>
    </row>
    <row r="713" spans="3:9" ht="15.75" customHeight="1" x14ac:dyDescent="0.25">
      <c r="C713" s="2"/>
      <c r="I713" s="2"/>
    </row>
    <row r="714" spans="3:9" ht="15.75" customHeight="1" x14ac:dyDescent="0.25">
      <c r="C714" s="2"/>
      <c r="I714" s="2"/>
    </row>
    <row r="715" spans="3:9" ht="15.75" customHeight="1" x14ac:dyDescent="0.25">
      <c r="C715" s="2"/>
      <c r="I715" s="2"/>
    </row>
    <row r="716" spans="3:9" ht="15.75" customHeight="1" x14ac:dyDescent="0.25">
      <c r="C716" s="2"/>
      <c r="I716" s="2"/>
    </row>
    <row r="717" spans="3:9" ht="15.75" customHeight="1" x14ac:dyDescent="0.25">
      <c r="C717" s="2"/>
      <c r="I717" s="2"/>
    </row>
    <row r="718" spans="3:9" ht="15.75" customHeight="1" x14ac:dyDescent="0.25">
      <c r="C718" s="2"/>
      <c r="I718" s="2"/>
    </row>
    <row r="719" spans="3:9" ht="15.75" customHeight="1" x14ac:dyDescent="0.25">
      <c r="C719" s="2"/>
      <c r="I719" s="2"/>
    </row>
    <row r="720" spans="3:9" ht="15.75" customHeight="1" x14ac:dyDescent="0.25">
      <c r="C720" s="2"/>
      <c r="I720" s="2"/>
    </row>
    <row r="721" spans="3:9" ht="15.75" customHeight="1" x14ac:dyDescent="0.25">
      <c r="C721" s="2"/>
      <c r="I721" s="2"/>
    </row>
    <row r="722" spans="3:9" ht="15.75" customHeight="1" x14ac:dyDescent="0.25">
      <c r="C722" s="2"/>
      <c r="I722" s="2"/>
    </row>
    <row r="723" spans="3:9" ht="15.75" customHeight="1" x14ac:dyDescent="0.25">
      <c r="C723" s="2"/>
      <c r="I723" s="2"/>
    </row>
    <row r="724" spans="3:9" ht="15.75" customHeight="1" x14ac:dyDescent="0.25">
      <c r="C724" s="2"/>
      <c r="I724" s="2"/>
    </row>
    <row r="725" spans="3:9" ht="15.75" customHeight="1" x14ac:dyDescent="0.25">
      <c r="C725" s="2"/>
      <c r="I725" s="2"/>
    </row>
    <row r="726" spans="3:9" ht="15.75" customHeight="1" x14ac:dyDescent="0.25">
      <c r="C726" s="2"/>
      <c r="I726" s="2"/>
    </row>
    <row r="727" spans="3:9" ht="15.75" customHeight="1" x14ac:dyDescent="0.25">
      <c r="C727" s="2"/>
      <c r="I727" s="2"/>
    </row>
    <row r="728" spans="3:9" ht="15.75" customHeight="1" x14ac:dyDescent="0.25">
      <c r="C728" s="2"/>
      <c r="I728" s="2"/>
    </row>
    <row r="729" spans="3:9" ht="15.75" customHeight="1" x14ac:dyDescent="0.25">
      <c r="C729" s="2"/>
      <c r="I729" s="2"/>
    </row>
    <row r="730" spans="3:9" ht="15.75" customHeight="1" x14ac:dyDescent="0.25">
      <c r="C730" s="2"/>
      <c r="I730" s="2"/>
    </row>
    <row r="731" spans="3:9" ht="15.75" customHeight="1" x14ac:dyDescent="0.25">
      <c r="C731" s="2"/>
      <c r="I731" s="2"/>
    </row>
    <row r="732" spans="3:9" ht="15.75" customHeight="1" x14ac:dyDescent="0.25">
      <c r="C732" s="2"/>
      <c r="I732" s="2"/>
    </row>
    <row r="733" spans="3:9" ht="15.75" customHeight="1" x14ac:dyDescent="0.25">
      <c r="C733" s="2"/>
      <c r="I733" s="2"/>
    </row>
    <row r="734" spans="3:9" ht="15.75" customHeight="1" x14ac:dyDescent="0.25">
      <c r="C734" s="2"/>
      <c r="I734" s="2"/>
    </row>
    <row r="735" spans="3:9" ht="15.75" customHeight="1" x14ac:dyDescent="0.25">
      <c r="C735" s="2"/>
      <c r="I735" s="2"/>
    </row>
    <row r="736" spans="3:9" ht="15.75" customHeight="1" x14ac:dyDescent="0.25">
      <c r="C736" s="2"/>
      <c r="I736" s="2"/>
    </row>
    <row r="737" spans="3:9" ht="15.75" customHeight="1" x14ac:dyDescent="0.25">
      <c r="C737" s="2"/>
      <c r="I737" s="2"/>
    </row>
    <row r="738" spans="3:9" ht="15.75" customHeight="1" x14ac:dyDescent="0.25">
      <c r="C738" s="2"/>
      <c r="I738" s="2"/>
    </row>
    <row r="739" spans="3:9" ht="15.75" customHeight="1" x14ac:dyDescent="0.25">
      <c r="C739" s="2"/>
      <c r="I739" s="2"/>
    </row>
    <row r="740" spans="3:9" ht="15.75" customHeight="1" x14ac:dyDescent="0.25">
      <c r="C740" s="2"/>
      <c r="I740" s="2"/>
    </row>
    <row r="741" spans="3:9" ht="15.75" customHeight="1" x14ac:dyDescent="0.25">
      <c r="C741" s="2"/>
      <c r="I741" s="2"/>
    </row>
    <row r="742" spans="3:9" ht="15.75" customHeight="1" x14ac:dyDescent="0.25">
      <c r="C742" s="2"/>
      <c r="I742" s="2"/>
    </row>
    <row r="743" spans="3:9" ht="15.75" customHeight="1" x14ac:dyDescent="0.25">
      <c r="C743" s="2"/>
      <c r="I743" s="2"/>
    </row>
    <row r="744" spans="3:9" ht="15.75" customHeight="1" x14ac:dyDescent="0.25">
      <c r="C744" s="2"/>
      <c r="I744" s="2"/>
    </row>
    <row r="745" spans="3:9" ht="15.75" customHeight="1" x14ac:dyDescent="0.25">
      <c r="C745" s="2"/>
      <c r="I745" s="2"/>
    </row>
    <row r="746" spans="3:9" ht="15.75" customHeight="1" x14ac:dyDescent="0.25">
      <c r="C746" s="2"/>
      <c r="I746" s="2"/>
    </row>
    <row r="747" spans="3:9" ht="15.75" customHeight="1" x14ac:dyDescent="0.25">
      <c r="C747" s="2"/>
      <c r="I747" s="2"/>
    </row>
    <row r="748" spans="3:9" ht="15.75" customHeight="1" x14ac:dyDescent="0.25">
      <c r="C748" s="2"/>
      <c r="I748" s="2"/>
    </row>
    <row r="749" spans="3:9" ht="15.75" customHeight="1" x14ac:dyDescent="0.25">
      <c r="C749" s="2"/>
      <c r="I749" s="2"/>
    </row>
    <row r="750" spans="3:9" ht="15.75" customHeight="1" x14ac:dyDescent="0.25">
      <c r="C750" s="2"/>
      <c r="I750" s="2"/>
    </row>
    <row r="751" spans="3:9" ht="15.75" customHeight="1" x14ac:dyDescent="0.25">
      <c r="C751" s="2"/>
      <c r="I751" s="2"/>
    </row>
    <row r="752" spans="3:9" ht="15.75" customHeight="1" x14ac:dyDescent="0.25">
      <c r="C752" s="2"/>
      <c r="I752" s="2"/>
    </row>
    <row r="753" spans="3:9" ht="15.75" customHeight="1" x14ac:dyDescent="0.25">
      <c r="C753" s="2"/>
      <c r="I753" s="2"/>
    </row>
    <row r="754" spans="3:9" ht="15.75" customHeight="1" x14ac:dyDescent="0.25">
      <c r="C754" s="2"/>
      <c r="I754" s="2"/>
    </row>
    <row r="755" spans="3:9" ht="15.75" customHeight="1" x14ac:dyDescent="0.25">
      <c r="C755" s="2"/>
      <c r="I755" s="2"/>
    </row>
    <row r="756" spans="3:9" ht="15.75" customHeight="1" x14ac:dyDescent="0.25">
      <c r="C756" s="2"/>
      <c r="I756" s="2"/>
    </row>
    <row r="757" spans="3:9" ht="15.75" customHeight="1" x14ac:dyDescent="0.25">
      <c r="C757" s="2"/>
      <c r="I757" s="2"/>
    </row>
    <row r="758" spans="3:9" ht="15.75" customHeight="1" x14ac:dyDescent="0.25">
      <c r="C758" s="2"/>
      <c r="I758" s="2"/>
    </row>
    <row r="759" spans="3:9" ht="15.75" customHeight="1" x14ac:dyDescent="0.25">
      <c r="C759" s="2"/>
      <c r="I759" s="2"/>
    </row>
    <row r="760" spans="3:9" ht="15.75" customHeight="1" x14ac:dyDescent="0.25">
      <c r="C760" s="2"/>
      <c r="I760" s="2"/>
    </row>
    <row r="761" spans="3:9" ht="15.75" customHeight="1" x14ac:dyDescent="0.25">
      <c r="C761" s="2"/>
      <c r="I761" s="2"/>
    </row>
    <row r="762" spans="3:9" ht="15.75" customHeight="1" x14ac:dyDescent="0.25">
      <c r="C762" s="2"/>
      <c r="I762" s="2"/>
    </row>
    <row r="763" spans="3:9" ht="15.75" customHeight="1" x14ac:dyDescent="0.25">
      <c r="C763" s="2"/>
      <c r="I763" s="2"/>
    </row>
    <row r="764" spans="3:9" ht="15.75" customHeight="1" x14ac:dyDescent="0.25">
      <c r="C764" s="2"/>
      <c r="I764" s="2"/>
    </row>
    <row r="765" spans="3:9" ht="15.75" customHeight="1" x14ac:dyDescent="0.25">
      <c r="C765" s="2"/>
      <c r="I765" s="2"/>
    </row>
    <row r="766" spans="3:9" ht="15.75" customHeight="1" x14ac:dyDescent="0.25">
      <c r="C766" s="2"/>
      <c r="I766" s="2"/>
    </row>
    <row r="767" spans="3:9" ht="15.75" customHeight="1" x14ac:dyDescent="0.25">
      <c r="C767" s="2"/>
      <c r="I767" s="2"/>
    </row>
    <row r="768" spans="3:9" ht="15.75" customHeight="1" x14ac:dyDescent="0.25">
      <c r="C768" s="2"/>
      <c r="I768" s="2"/>
    </row>
    <row r="769" spans="3:9" ht="15.75" customHeight="1" x14ac:dyDescent="0.25">
      <c r="C769" s="2"/>
      <c r="I769" s="2"/>
    </row>
    <row r="770" spans="3:9" ht="15.75" customHeight="1" x14ac:dyDescent="0.25">
      <c r="C770" s="2"/>
      <c r="I770" s="2"/>
    </row>
    <row r="771" spans="3:9" ht="15.75" customHeight="1" x14ac:dyDescent="0.25">
      <c r="C771" s="2"/>
      <c r="I771" s="2"/>
    </row>
    <row r="772" spans="3:9" ht="15.75" customHeight="1" x14ac:dyDescent="0.25">
      <c r="C772" s="2"/>
      <c r="I772" s="2"/>
    </row>
    <row r="773" spans="3:9" ht="15.75" customHeight="1" x14ac:dyDescent="0.25">
      <c r="C773" s="2"/>
      <c r="I773" s="2"/>
    </row>
    <row r="774" spans="3:9" ht="15.75" customHeight="1" x14ac:dyDescent="0.25">
      <c r="C774" s="2"/>
      <c r="I774" s="2"/>
    </row>
    <row r="775" spans="3:9" ht="15.75" customHeight="1" x14ac:dyDescent="0.25">
      <c r="C775" s="2"/>
      <c r="I775" s="2"/>
    </row>
    <row r="776" spans="3:9" ht="15.75" customHeight="1" x14ac:dyDescent="0.25">
      <c r="C776" s="2"/>
      <c r="I776" s="2"/>
    </row>
    <row r="777" spans="3:9" ht="15.75" customHeight="1" x14ac:dyDescent="0.25">
      <c r="C777" s="2"/>
      <c r="I777" s="2"/>
    </row>
    <row r="778" spans="3:9" ht="15.75" customHeight="1" x14ac:dyDescent="0.25">
      <c r="C778" s="2"/>
      <c r="I778" s="2"/>
    </row>
    <row r="779" spans="3:9" ht="15.75" customHeight="1" x14ac:dyDescent="0.25">
      <c r="C779" s="2"/>
      <c r="I779" s="2"/>
    </row>
    <row r="780" spans="3:9" ht="15.75" customHeight="1" x14ac:dyDescent="0.25">
      <c r="C780" s="2"/>
      <c r="I780" s="2"/>
    </row>
    <row r="781" spans="3:9" ht="15.75" customHeight="1" x14ac:dyDescent="0.25">
      <c r="C781" s="2"/>
      <c r="I781" s="2"/>
    </row>
    <row r="782" spans="3:9" ht="15.75" customHeight="1" x14ac:dyDescent="0.25">
      <c r="C782" s="2"/>
      <c r="I782" s="2"/>
    </row>
    <row r="783" spans="3:9" ht="15.75" customHeight="1" x14ac:dyDescent="0.25">
      <c r="C783" s="2"/>
      <c r="I783" s="2"/>
    </row>
    <row r="784" spans="3:9" ht="15.75" customHeight="1" x14ac:dyDescent="0.25">
      <c r="C784" s="2"/>
      <c r="I784" s="2"/>
    </row>
    <row r="785" spans="3:9" ht="15.75" customHeight="1" x14ac:dyDescent="0.25">
      <c r="C785" s="2"/>
      <c r="I785" s="2"/>
    </row>
    <row r="786" spans="3:9" ht="15.75" customHeight="1" x14ac:dyDescent="0.25">
      <c r="C786" s="2"/>
      <c r="I786" s="2"/>
    </row>
    <row r="787" spans="3:9" ht="15.75" customHeight="1" x14ac:dyDescent="0.25">
      <c r="C787" s="2"/>
      <c r="I787" s="2"/>
    </row>
    <row r="788" spans="3:9" ht="15.75" customHeight="1" x14ac:dyDescent="0.25">
      <c r="C788" s="2"/>
      <c r="I788" s="2"/>
    </row>
    <row r="789" spans="3:9" ht="15.75" customHeight="1" x14ac:dyDescent="0.25">
      <c r="C789" s="2"/>
      <c r="I789" s="2"/>
    </row>
    <row r="790" spans="3:9" ht="15.75" customHeight="1" x14ac:dyDescent="0.25">
      <c r="C790" s="2"/>
      <c r="I790" s="2"/>
    </row>
    <row r="791" spans="3:9" ht="15.75" customHeight="1" x14ac:dyDescent="0.25">
      <c r="C791" s="2"/>
      <c r="I791" s="2"/>
    </row>
    <row r="792" spans="3:9" ht="15.75" customHeight="1" x14ac:dyDescent="0.25">
      <c r="C792" s="2"/>
      <c r="I792" s="2"/>
    </row>
    <row r="793" spans="3:9" ht="15.75" customHeight="1" x14ac:dyDescent="0.25">
      <c r="C793" s="2"/>
      <c r="I793" s="2"/>
    </row>
    <row r="794" spans="3:9" ht="15.75" customHeight="1" x14ac:dyDescent="0.25">
      <c r="C794" s="2"/>
      <c r="I794" s="2"/>
    </row>
    <row r="795" spans="3:9" ht="15.75" customHeight="1" x14ac:dyDescent="0.25">
      <c r="C795" s="2"/>
      <c r="I795" s="2"/>
    </row>
    <row r="796" spans="3:9" ht="15.75" customHeight="1" x14ac:dyDescent="0.25">
      <c r="C796" s="2"/>
      <c r="I796" s="2"/>
    </row>
    <row r="797" spans="3:9" ht="15.75" customHeight="1" x14ac:dyDescent="0.25">
      <c r="C797" s="2"/>
      <c r="I797" s="2"/>
    </row>
    <row r="798" spans="3:9" ht="15.75" customHeight="1" x14ac:dyDescent="0.25">
      <c r="C798" s="2"/>
      <c r="I798" s="2"/>
    </row>
    <row r="799" spans="3:9" ht="15.75" customHeight="1" x14ac:dyDescent="0.25">
      <c r="C799" s="2"/>
      <c r="I799" s="2"/>
    </row>
    <row r="800" spans="3:9" ht="15.75" customHeight="1" x14ac:dyDescent="0.25">
      <c r="C800" s="2"/>
      <c r="I800" s="2"/>
    </row>
    <row r="801" spans="3:9" ht="15.75" customHeight="1" x14ac:dyDescent="0.25">
      <c r="C801" s="2"/>
      <c r="I801" s="2"/>
    </row>
    <row r="802" spans="3:9" ht="15.75" customHeight="1" x14ac:dyDescent="0.25">
      <c r="C802" s="2"/>
      <c r="I802" s="2"/>
    </row>
    <row r="803" spans="3:9" ht="15.75" customHeight="1" x14ac:dyDescent="0.25">
      <c r="C803" s="2"/>
      <c r="I803" s="2"/>
    </row>
    <row r="804" spans="3:9" ht="15.75" customHeight="1" x14ac:dyDescent="0.25">
      <c r="C804" s="2"/>
      <c r="I804" s="2"/>
    </row>
    <row r="805" spans="3:9" ht="15.75" customHeight="1" x14ac:dyDescent="0.25">
      <c r="C805" s="2"/>
      <c r="I805" s="2"/>
    </row>
    <row r="806" spans="3:9" ht="15.75" customHeight="1" x14ac:dyDescent="0.25">
      <c r="C806" s="2"/>
      <c r="I806" s="2"/>
    </row>
    <row r="807" spans="3:9" ht="15.75" customHeight="1" x14ac:dyDescent="0.25">
      <c r="C807" s="2"/>
      <c r="I807" s="2"/>
    </row>
    <row r="808" spans="3:9" ht="15.75" customHeight="1" x14ac:dyDescent="0.25">
      <c r="C808" s="2"/>
      <c r="I808" s="2"/>
    </row>
    <row r="809" spans="3:9" ht="15.75" customHeight="1" x14ac:dyDescent="0.25">
      <c r="C809" s="2"/>
      <c r="I809" s="2"/>
    </row>
    <row r="810" spans="3:9" ht="15.75" customHeight="1" x14ac:dyDescent="0.25">
      <c r="C810" s="2"/>
      <c r="I810" s="2"/>
    </row>
    <row r="811" spans="3:9" ht="15.75" customHeight="1" x14ac:dyDescent="0.25">
      <c r="C811" s="2"/>
      <c r="I811" s="2"/>
    </row>
    <row r="812" spans="3:9" ht="15.75" customHeight="1" x14ac:dyDescent="0.25">
      <c r="C812" s="2"/>
      <c r="I812" s="2"/>
    </row>
    <row r="813" spans="3:9" ht="15.75" customHeight="1" x14ac:dyDescent="0.25">
      <c r="C813" s="2"/>
      <c r="I813" s="2"/>
    </row>
    <row r="814" spans="3:9" ht="15.75" customHeight="1" x14ac:dyDescent="0.25">
      <c r="C814" s="2"/>
      <c r="I814" s="2"/>
    </row>
    <row r="815" spans="3:9" ht="15.75" customHeight="1" x14ac:dyDescent="0.25">
      <c r="C815" s="2"/>
      <c r="I815" s="2"/>
    </row>
    <row r="816" spans="3:9" ht="15.75" customHeight="1" x14ac:dyDescent="0.25">
      <c r="C816" s="2"/>
      <c r="I816" s="2"/>
    </row>
    <row r="817" spans="3:9" ht="15.75" customHeight="1" x14ac:dyDescent="0.25">
      <c r="C817" s="2"/>
      <c r="I817" s="2"/>
    </row>
    <row r="818" spans="3:9" ht="15.75" customHeight="1" x14ac:dyDescent="0.25">
      <c r="C818" s="2"/>
      <c r="I818" s="2"/>
    </row>
    <row r="819" spans="3:9" ht="15.75" customHeight="1" x14ac:dyDescent="0.25">
      <c r="C819" s="2"/>
      <c r="I819" s="2"/>
    </row>
    <row r="820" spans="3:9" ht="15.75" customHeight="1" x14ac:dyDescent="0.25">
      <c r="C820" s="2"/>
      <c r="I820" s="2"/>
    </row>
    <row r="821" spans="3:9" ht="15.75" customHeight="1" x14ac:dyDescent="0.25">
      <c r="C821" s="2"/>
      <c r="I821" s="2"/>
    </row>
    <row r="822" spans="3:9" ht="15.75" customHeight="1" x14ac:dyDescent="0.25">
      <c r="C822" s="2"/>
      <c r="I822" s="2"/>
    </row>
    <row r="823" spans="3:9" ht="15.75" customHeight="1" x14ac:dyDescent="0.25">
      <c r="C823" s="2"/>
      <c r="I823" s="2"/>
    </row>
    <row r="824" spans="3:9" ht="15.75" customHeight="1" x14ac:dyDescent="0.25">
      <c r="C824" s="2"/>
      <c r="I824" s="2"/>
    </row>
    <row r="825" spans="3:9" ht="15.75" customHeight="1" x14ac:dyDescent="0.25">
      <c r="C825" s="2"/>
      <c r="I825" s="2"/>
    </row>
    <row r="826" spans="3:9" ht="15.75" customHeight="1" x14ac:dyDescent="0.25">
      <c r="C826" s="2"/>
      <c r="I826" s="2"/>
    </row>
    <row r="827" spans="3:9" ht="15.75" customHeight="1" x14ac:dyDescent="0.25">
      <c r="C827" s="2"/>
      <c r="I827" s="2"/>
    </row>
    <row r="828" spans="3:9" ht="15.75" customHeight="1" x14ac:dyDescent="0.25">
      <c r="C828" s="2"/>
      <c r="I828" s="2"/>
    </row>
    <row r="829" spans="3:9" ht="15.75" customHeight="1" x14ac:dyDescent="0.25">
      <c r="C829" s="2"/>
      <c r="I829" s="2"/>
    </row>
    <row r="830" spans="3:9" ht="15.75" customHeight="1" x14ac:dyDescent="0.25">
      <c r="C830" s="2"/>
      <c r="I830" s="2"/>
    </row>
    <row r="831" spans="3:9" ht="15.75" customHeight="1" x14ac:dyDescent="0.25">
      <c r="C831" s="2"/>
      <c r="I831" s="2"/>
    </row>
    <row r="832" spans="3:9" ht="15.75" customHeight="1" x14ac:dyDescent="0.25">
      <c r="C832" s="2"/>
      <c r="I832" s="2"/>
    </row>
    <row r="833" spans="3:9" ht="15.75" customHeight="1" x14ac:dyDescent="0.25">
      <c r="C833" s="2"/>
      <c r="I833" s="2"/>
    </row>
    <row r="834" spans="3:9" ht="15.75" customHeight="1" x14ac:dyDescent="0.25">
      <c r="C834" s="2"/>
      <c r="I834" s="2"/>
    </row>
    <row r="835" spans="3:9" ht="15.75" customHeight="1" x14ac:dyDescent="0.25">
      <c r="C835" s="2"/>
      <c r="I835" s="2"/>
    </row>
    <row r="836" spans="3:9" ht="15.75" customHeight="1" x14ac:dyDescent="0.25">
      <c r="C836" s="2"/>
      <c r="I836" s="2"/>
    </row>
    <row r="837" spans="3:9" ht="15.75" customHeight="1" x14ac:dyDescent="0.25">
      <c r="C837" s="2"/>
      <c r="I837" s="2"/>
    </row>
    <row r="838" spans="3:9" ht="15.75" customHeight="1" x14ac:dyDescent="0.25">
      <c r="C838" s="2"/>
      <c r="I838" s="2"/>
    </row>
    <row r="839" spans="3:9" ht="15.75" customHeight="1" x14ac:dyDescent="0.25">
      <c r="C839" s="2"/>
      <c r="I839" s="2"/>
    </row>
    <row r="840" spans="3:9" ht="15.75" customHeight="1" x14ac:dyDescent="0.25">
      <c r="C840" s="2"/>
      <c r="I840" s="2"/>
    </row>
    <row r="841" spans="3:9" ht="15.75" customHeight="1" x14ac:dyDescent="0.25">
      <c r="C841" s="2"/>
      <c r="I841" s="2"/>
    </row>
    <row r="842" spans="3:9" ht="15.75" customHeight="1" x14ac:dyDescent="0.25">
      <c r="C842" s="2"/>
      <c r="I842" s="2"/>
    </row>
    <row r="843" spans="3:9" ht="15.75" customHeight="1" x14ac:dyDescent="0.25">
      <c r="C843" s="2"/>
      <c r="I843" s="2"/>
    </row>
    <row r="844" spans="3:9" ht="15.75" customHeight="1" x14ac:dyDescent="0.25">
      <c r="C844" s="2"/>
      <c r="I844" s="2"/>
    </row>
    <row r="845" spans="3:9" ht="15.75" customHeight="1" x14ac:dyDescent="0.25">
      <c r="C845" s="2"/>
      <c r="I845" s="2"/>
    </row>
    <row r="846" spans="3:9" ht="15.75" customHeight="1" x14ac:dyDescent="0.25">
      <c r="C846" s="2"/>
      <c r="I846" s="2"/>
    </row>
    <row r="847" spans="3:9" ht="15.75" customHeight="1" x14ac:dyDescent="0.25">
      <c r="C847" s="2"/>
      <c r="I847" s="2"/>
    </row>
    <row r="848" spans="3:9" ht="15.75" customHeight="1" x14ac:dyDescent="0.25">
      <c r="C848" s="2"/>
      <c r="I848" s="2"/>
    </row>
    <row r="849" spans="3:9" ht="15.75" customHeight="1" x14ac:dyDescent="0.25">
      <c r="C849" s="2"/>
      <c r="I849" s="2"/>
    </row>
    <row r="850" spans="3:9" ht="15.75" customHeight="1" x14ac:dyDescent="0.25">
      <c r="C850" s="2"/>
      <c r="I850" s="2"/>
    </row>
    <row r="851" spans="3:9" ht="15.75" customHeight="1" x14ac:dyDescent="0.25">
      <c r="C851" s="2"/>
      <c r="I851" s="2"/>
    </row>
    <row r="852" spans="3:9" ht="15.75" customHeight="1" x14ac:dyDescent="0.25">
      <c r="C852" s="2"/>
      <c r="I852" s="2"/>
    </row>
    <row r="853" spans="3:9" ht="15.75" customHeight="1" x14ac:dyDescent="0.25">
      <c r="C853" s="2"/>
      <c r="I853" s="2"/>
    </row>
    <row r="854" spans="3:9" ht="15.75" customHeight="1" x14ac:dyDescent="0.25">
      <c r="C854" s="2"/>
      <c r="I854" s="2"/>
    </row>
    <row r="855" spans="3:9" ht="15.75" customHeight="1" x14ac:dyDescent="0.25">
      <c r="C855" s="2"/>
      <c r="I855" s="2"/>
    </row>
    <row r="856" spans="3:9" ht="15.75" customHeight="1" x14ac:dyDescent="0.25">
      <c r="C856" s="2"/>
      <c r="I856" s="2"/>
    </row>
    <row r="857" spans="3:9" ht="15.75" customHeight="1" x14ac:dyDescent="0.25">
      <c r="C857" s="2"/>
      <c r="I857" s="2"/>
    </row>
    <row r="858" spans="3:9" ht="15.75" customHeight="1" x14ac:dyDescent="0.25">
      <c r="C858" s="2"/>
      <c r="I858" s="2"/>
    </row>
    <row r="859" spans="3:9" ht="15.75" customHeight="1" x14ac:dyDescent="0.25">
      <c r="C859" s="2"/>
      <c r="I859" s="2"/>
    </row>
    <row r="860" spans="3:9" ht="15.75" customHeight="1" x14ac:dyDescent="0.25">
      <c r="C860" s="2"/>
      <c r="I860" s="2"/>
    </row>
    <row r="861" spans="3:9" ht="15.75" customHeight="1" x14ac:dyDescent="0.25">
      <c r="C861" s="2"/>
      <c r="I861" s="2"/>
    </row>
    <row r="862" spans="3:9" ht="15.75" customHeight="1" x14ac:dyDescent="0.25">
      <c r="C862" s="2"/>
      <c r="I862" s="2"/>
    </row>
    <row r="863" spans="3:9" ht="15.75" customHeight="1" x14ac:dyDescent="0.25">
      <c r="C863" s="2"/>
      <c r="I863" s="2"/>
    </row>
    <row r="864" spans="3:9" ht="15.75" customHeight="1" x14ac:dyDescent="0.25">
      <c r="C864" s="2"/>
      <c r="I864" s="2"/>
    </row>
    <row r="865" spans="3:9" ht="15.75" customHeight="1" x14ac:dyDescent="0.25">
      <c r="C865" s="2"/>
      <c r="I865" s="2"/>
    </row>
    <row r="866" spans="3:9" ht="15.75" customHeight="1" x14ac:dyDescent="0.25">
      <c r="C866" s="2"/>
      <c r="I866" s="2"/>
    </row>
    <row r="867" spans="3:9" ht="15.75" customHeight="1" x14ac:dyDescent="0.25">
      <c r="C867" s="2"/>
      <c r="I867" s="2"/>
    </row>
    <row r="868" spans="3:9" ht="15.75" customHeight="1" x14ac:dyDescent="0.25">
      <c r="C868" s="2"/>
      <c r="I868" s="2"/>
    </row>
    <row r="869" spans="3:9" ht="15.75" customHeight="1" x14ac:dyDescent="0.25">
      <c r="C869" s="2"/>
      <c r="I869" s="2"/>
    </row>
    <row r="870" spans="3:9" ht="15.75" customHeight="1" x14ac:dyDescent="0.25">
      <c r="C870" s="2"/>
      <c r="I870" s="2"/>
    </row>
    <row r="871" spans="3:9" ht="15.75" customHeight="1" x14ac:dyDescent="0.25">
      <c r="C871" s="2"/>
      <c r="I871" s="2"/>
    </row>
    <row r="872" spans="3:9" ht="15.75" customHeight="1" x14ac:dyDescent="0.25">
      <c r="C872" s="2"/>
      <c r="I872" s="2"/>
    </row>
    <row r="873" spans="3:9" ht="15.75" customHeight="1" x14ac:dyDescent="0.25">
      <c r="C873" s="2"/>
      <c r="I873" s="2"/>
    </row>
    <row r="874" spans="3:9" ht="15.75" customHeight="1" x14ac:dyDescent="0.25">
      <c r="C874" s="2"/>
      <c r="I874" s="2"/>
    </row>
    <row r="875" spans="3:9" ht="15.75" customHeight="1" x14ac:dyDescent="0.25">
      <c r="C875" s="2"/>
      <c r="I875" s="2"/>
    </row>
    <row r="876" spans="3:9" ht="15.75" customHeight="1" x14ac:dyDescent="0.25">
      <c r="C876" s="2"/>
      <c r="I876" s="2"/>
    </row>
    <row r="877" spans="3:9" ht="15.75" customHeight="1" x14ac:dyDescent="0.25">
      <c r="C877" s="2"/>
      <c r="I877" s="2"/>
    </row>
    <row r="878" spans="3:9" ht="15.75" customHeight="1" x14ac:dyDescent="0.25">
      <c r="C878" s="2"/>
      <c r="I878" s="2"/>
    </row>
    <row r="879" spans="3:9" ht="15.75" customHeight="1" x14ac:dyDescent="0.25">
      <c r="C879" s="2"/>
      <c r="I879" s="2"/>
    </row>
    <row r="880" spans="3:9" ht="15.75" customHeight="1" x14ac:dyDescent="0.25">
      <c r="C880" s="2"/>
      <c r="I880" s="2"/>
    </row>
    <row r="881" spans="3:9" ht="15.75" customHeight="1" x14ac:dyDescent="0.25">
      <c r="C881" s="2"/>
      <c r="I881" s="2"/>
    </row>
    <row r="882" spans="3:9" ht="15.75" customHeight="1" x14ac:dyDescent="0.25">
      <c r="C882" s="2"/>
      <c r="I882" s="2"/>
    </row>
    <row r="883" spans="3:9" ht="15.75" customHeight="1" x14ac:dyDescent="0.25">
      <c r="C883" s="2"/>
      <c r="I883" s="2"/>
    </row>
    <row r="884" spans="3:9" ht="15.75" customHeight="1" x14ac:dyDescent="0.25">
      <c r="C884" s="2"/>
      <c r="I884" s="2"/>
    </row>
    <row r="885" spans="3:9" ht="15.75" customHeight="1" x14ac:dyDescent="0.25">
      <c r="C885" s="2"/>
      <c r="I885" s="2"/>
    </row>
    <row r="886" spans="3:9" ht="15.75" customHeight="1" x14ac:dyDescent="0.25">
      <c r="C886" s="2"/>
      <c r="I886" s="2"/>
    </row>
    <row r="887" spans="3:9" ht="15.75" customHeight="1" x14ac:dyDescent="0.25">
      <c r="C887" s="2"/>
      <c r="I887" s="2"/>
    </row>
    <row r="888" spans="3:9" ht="15.75" customHeight="1" x14ac:dyDescent="0.25">
      <c r="C888" s="2"/>
      <c r="I888" s="2"/>
    </row>
    <row r="889" spans="3:9" ht="15.75" customHeight="1" x14ac:dyDescent="0.25">
      <c r="C889" s="2"/>
      <c r="I889" s="2"/>
    </row>
    <row r="890" spans="3:9" ht="15.75" customHeight="1" x14ac:dyDescent="0.25">
      <c r="C890" s="2"/>
      <c r="I890" s="2"/>
    </row>
    <row r="891" spans="3:9" ht="15.75" customHeight="1" x14ac:dyDescent="0.25">
      <c r="C891" s="2"/>
      <c r="I891" s="2"/>
    </row>
    <row r="892" spans="3:9" ht="15.75" customHeight="1" x14ac:dyDescent="0.25">
      <c r="C892" s="2"/>
      <c r="I892" s="2"/>
    </row>
    <row r="893" spans="3:9" ht="15.75" customHeight="1" x14ac:dyDescent="0.25">
      <c r="C893" s="2"/>
      <c r="I893" s="2"/>
    </row>
    <row r="894" spans="3:9" ht="15.75" customHeight="1" x14ac:dyDescent="0.25">
      <c r="C894" s="2"/>
      <c r="I894" s="2"/>
    </row>
    <row r="895" spans="3:9" ht="15.75" customHeight="1" x14ac:dyDescent="0.25">
      <c r="C895" s="2"/>
      <c r="I895" s="2"/>
    </row>
    <row r="896" spans="3:9" ht="15.75" customHeight="1" x14ac:dyDescent="0.25">
      <c r="C896" s="2"/>
      <c r="I896" s="2"/>
    </row>
    <row r="897" spans="3:9" ht="15.75" customHeight="1" x14ac:dyDescent="0.25">
      <c r="C897" s="2"/>
      <c r="I897" s="2"/>
    </row>
    <row r="898" spans="3:9" ht="15.75" customHeight="1" x14ac:dyDescent="0.25">
      <c r="C898" s="2"/>
      <c r="I898" s="2"/>
    </row>
    <row r="899" spans="3:9" ht="15.75" customHeight="1" x14ac:dyDescent="0.25">
      <c r="C899" s="2"/>
      <c r="I899" s="2"/>
    </row>
    <row r="900" spans="3:9" ht="15.75" customHeight="1" x14ac:dyDescent="0.25">
      <c r="C900" s="2"/>
      <c r="I900" s="2"/>
    </row>
    <row r="901" spans="3:9" ht="15.75" customHeight="1" x14ac:dyDescent="0.25">
      <c r="C901" s="2"/>
      <c r="I901" s="2"/>
    </row>
    <row r="902" spans="3:9" ht="15.75" customHeight="1" x14ac:dyDescent="0.25">
      <c r="C902" s="2"/>
      <c r="I902" s="2"/>
    </row>
    <row r="903" spans="3:9" ht="15.75" customHeight="1" x14ac:dyDescent="0.25">
      <c r="C903" s="2"/>
      <c r="I903" s="2"/>
    </row>
    <row r="904" spans="3:9" ht="15.75" customHeight="1" x14ac:dyDescent="0.25">
      <c r="C904" s="2"/>
      <c r="I904" s="2"/>
    </row>
    <row r="905" spans="3:9" ht="15.75" customHeight="1" x14ac:dyDescent="0.25">
      <c r="C905" s="2"/>
      <c r="I905" s="2"/>
    </row>
    <row r="906" spans="3:9" ht="15.75" customHeight="1" x14ac:dyDescent="0.25">
      <c r="C906" s="2"/>
      <c r="I906" s="2"/>
    </row>
    <row r="907" spans="3:9" ht="15.75" customHeight="1" x14ac:dyDescent="0.25">
      <c r="C907" s="2"/>
      <c r="I907" s="2"/>
    </row>
    <row r="908" spans="3:9" ht="15.75" customHeight="1" x14ac:dyDescent="0.25">
      <c r="C908" s="2"/>
      <c r="I908" s="2"/>
    </row>
    <row r="909" spans="3:9" ht="15.75" customHeight="1" x14ac:dyDescent="0.25">
      <c r="C909" s="2"/>
      <c r="I909" s="2"/>
    </row>
    <row r="910" spans="3:9" ht="15.75" customHeight="1" x14ac:dyDescent="0.25">
      <c r="C910" s="2"/>
      <c r="I910" s="2"/>
    </row>
    <row r="911" spans="3:9" ht="15.75" customHeight="1" x14ac:dyDescent="0.25">
      <c r="C911" s="2"/>
      <c r="I911" s="2"/>
    </row>
    <row r="912" spans="3:9" ht="15.75" customHeight="1" x14ac:dyDescent="0.25">
      <c r="C912" s="2"/>
      <c r="I912" s="2"/>
    </row>
    <row r="913" spans="3:9" ht="15.75" customHeight="1" x14ac:dyDescent="0.25">
      <c r="C913" s="2"/>
      <c r="I913" s="2"/>
    </row>
    <row r="914" spans="3:9" ht="15.75" customHeight="1" x14ac:dyDescent="0.25">
      <c r="C914" s="2"/>
      <c r="I914" s="2"/>
    </row>
    <row r="915" spans="3:9" ht="15.75" customHeight="1" x14ac:dyDescent="0.25">
      <c r="C915" s="2"/>
      <c r="I915" s="2"/>
    </row>
    <row r="916" spans="3:9" ht="15.75" customHeight="1" x14ac:dyDescent="0.25">
      <c r="C916" s="2"/>
      <c r="I916" s="2"/>
    </row>
    <row r="917" spans="3:9" ht="15.75" customHeight="1" x14ac:dyDescent="0.25">
      <c r="C917" s="2"/>
      <c r="I917" s="2"/>
    </row>
    <row r="918" spans="3:9" ht="15.75" customHeight="1" x14ac:dyDescent="0.25">
      <c r="C918" s="2"/>
      <c r="I918" s="2"/>
    </row>
    <row r="919" spans="3:9" ht="15.75" customHeight="1" x14ac:dyDescent="0.25">
      <c r="C919" s="2"/>
      <c r="I919" s="2"/>
    </row>
    <row r="920" spans="3:9" ht="15.75" customHeight="1" x14ac:dyDescent="0.25">
      <c r="C920" s="2"/>
      <c r="I920" s="2"/>
    </row>
    <row r="921" spans="3:9" ht="15.75" customHeight="1" x14ac:dyDescent="0.25">
      <c r="C921" s="2"/>
      <c r="I921" s="2"/>
    </row>
    <row r="922" spans="3:9" ht="15.75" customHeight="1" x14ac:dyDescent="0.25">
      <c r="C922" s="2"/>
      <c r="I922" s="2"/>
    </row>
    <row r="923" spans="3:9" ht="15.75" customHeight="1" x14ac:dyDescent="0.25">
      <c r="C923" s="2"/>
      <c r="I923" s="2"/>
    </row>
    <row r="924" spans="3:9" ht="15.75" customHeight="1" x14ac:dyDescent="0.25">
      <c r="C924" s="2"/>
      <c r="I924" s="2"/>
    </row>
    <row r="925" spans="3:9" ht="15.75" customHeight="1" x14ac:dyDescent="0.25">
      <c r="C925" s="2"/>
      <c r="I925" s="2"/>
    </row>
    <row r="926" spans="3:9" ht="15.75" customHeight="1" x14ac:dyDescent="0.25">
      <c r="C926" s="2"/>
      <c r="I926" s="2"/>
    </row>
    <row r="927" spans="3:9" ht="15.75" customHeight="1" x14ac:dyDescent="0.25">
      <c r="C927" s="2"/>
      <c r="I927" s="2"/>
    </row>
    <row r="928" spans="3:9" ht="15.75" customHeight="1" x14ac:dyDescent="0.25">
      <c r="C928" s="2"/>
      <c r="I928" s="2"/>
    </row>
    <row r="929" spans="3:9" ht="15.75" customHeight="1" x14ac:dyDescent="0.25">
      <c r="C929" s="2"/>
      <c r="I929" s="2"/>
    </row>
    <row r="930" spans="3:9" ht="15.75" customHeight="1" x14ac:dyDescent="0.25">
      <c r="C930" s="2"/>
      <c r="I930" s="2"/>
    </row>
    <row r="931" spans="3:9" ht="15.75" customHeight="1" x14ac:dyDescent="0.25">
      <c r="C931" s="2"/>
      <c r="I931" s="2"/>
    </row>
    <row r="932" spans="3:9" ht="15.75" customHeight="1" x14ac:dyDescent="0.25">
      <c r="C932" s="2"/>
      <c r="I932" s="2"/>
    </row>
    <row r="933" spans="3:9" ht="15.75" customHeight="1" x14ac:dyDescent="0.25">
      <c r="C933" s="2"/>
      <c r="I933" s="2"/>
    </row>
    <row r="934" spans="3:9" ht="15.75" customHeight="1" x14ac:dyDescent="0.25">
      <c r="C934" s="2"/>
      <c r="I934" s="2"/>
    </row>
    <row r="935" spans="3:9" ht="15.75" customHeight="1" x14ac:dyDescent="0.25">
      <c r="C935" s="2"/>
      <c r="I935" s="2"/>
    </row>
    <row r="936" spans="3:9" ht="15.75" customHeight="1" x14ac:dyDescent="0.25">
      <c r="C936" s="2"/>
      <c r="I936" s="2"/>
    </row>
    <row r="937" spans="3:9" ht="15.75" customHeight="1" x14ac:dyDescent="0.25">
      <c r="C937" s="2"/>
      <c r="I937" s="2"/>
    </row>
    <row r="938" spans="3:9" ht="15.75" customHeight="1" x14ac:dyDescent="0.25">
      <c r="C938" s="2"/>
      <c r="I938" s="2"/>
    </row>
    <row r="939" spans="3:9" ht="15.75" customHeight="1" x14ac:dyDescent="0.25">
      <c r="C939" s="2"/>
      <c r="I939" s="2"/>
    </row>
    <row r="940" spans="3:9" ht="15.75" customHeight="1" x14ac:dyDescent="0.25">
      <c r="C940" s="2"/>
      <c r="I940" s="2"/>
    </row>
    <row r="941" spans="3:9" ht="15.75" customHeight="1" x14ac:dyDescent="0.25">
      <c r="C941" s="2"/>
      <c r="I941" s="2"/>
    </row>
    <row r="942" spans="3:9" ht="15.75" customHeight="1" x14ac:dyDescent="0.25">
      <c r="C942" s="2"/>
      <c r="I942" s="2"/>
    </row>
    <row r="943" spans="3:9" ht="15.75" customHeight="1" x14ac:dyDescent="0.25">
      <c r="C943" s="2"/>
      <c r="I943" s="2"/>
    </row>
    <row r="944" spans="3:9" ht="15.75" customHeight="1" x14ac:dyDescent="0.25">
      <c r="C944" s="2"/>
      <c r="I944" s="2"/>
    </row>
    <row r="945" spans="3:9" ht="15.75" customHeight="1" x14ac:dyDescent="0.25">
      <c r="C945" s="2"/>
      <c r="I945" s="2"/>
    </row>
    <row r="946" spans="3:9" ht="15.75" customHeight="1" x14ac:dyDescent="0.25">
      <c r="C946" s="2"/>
      <c r="I946" s="2"/>
    </row>
    <row r="947" spans="3:9" ht="15.75" customHeight="1" x14ac:dyDescent="0.25">
      <c r="C947" s="2"/>
      <c r="I947" s="2"/>
    </row>
    <row r="948" spans="3:9" ht="15.75" customHeight="1" x14ac:dyDescent="0.25">
      <c r="C948" s="2"/>
      <c r="I948" s="2"/>
    </row>
    <row r="949" spans="3:9" ht="15.75" customHeight="1" x14ac:dyDescent="0.25">
      <c r="C949" s="2"/>
      <c r="I949" s="2"/>
    </row>
    <row r="950" spans="3:9" ht="15.75" customHeight="1" x14ac:dyDescent="0.25">
      <c r="C950" s="2"/>
      <c r="I950" s="2"/>
    </row>
    <row r="951" spans="3:9" ht="15.75" customHeight="1" x14ac:dyDescent="0.25">
      <c r="C951" s="2"/>
      <c r="I951" s="2"/>
    </row>
    <row r="952" spans="3:9" ht="15.75" customHeight="1" x14ac:dyDescent="0.25">
      <c r="C952" s="2"/>
      <c r="I952" s="2"/>
    </row>
    <row r="953" spans="3:9" ht="15.75" customHeight="1" x14ac:dyDescent="0.25">
      <c r="C953" s="2"/>
      <c r="I953" s="2"/>
    </row>
    <row r="954" spans="3:9" ht="15.75" customHeight="1" x14ac:dyDescent="0.25">
      <c r="C954" s="2"/>
      <c r="I954" s="2"/>
    </row>
    <row r="955" spans="3:9" ht="15.75" customHeight="1" x14ac:dyDescent="0.25">
      <c r="C955" s="2"/>
      <c r="I955" s="2"/>
    </row>
    <row r="956" spans="3:9" ht="15.75" customHeight="1" x14ac:dyDescent="0.25">
      <c r="C956" s="2"/>
      <c r="I956" s="2"/>
    </row>
    <row r="957" spans="3:9" ht="15.75" customHeight="1" x14ac:dyDescent="0.25">
      <c r="C957" s="2"/>
      <c r="I957" s="2"/>
    </row>
    <row r="958" spans="3:9" ht="15.75" customHeight="1" x14ac:dyDescent="0.25">
      <c r="C958" s="2"/>
      <c r="I958" s="2"/>
    </row>
    <row r="959" spans="3:9" ht="15.75" customHeight="1" x14ac:dyDescent="0.25">
      <c r="C959" s="2"/>
      <c r="I959" s="2"/>
    </row>
    <row r="960" spans="3:9" ht="15.75" customHeight="1" x14ac:dyDescent="0.25">
      <c r="C960" s="2"/>
      <c r="I960" s="2"/>
    </row>
    <row r="961" spans="3:9" ht="15.75" customHeight="1" x14ac:dyDescent="0.25">
      <c r="C961" s="2"/>
      <c r="I961" s="2"/>
    </row>
    <row r="962" spans="3:9" ht="15.75" customHeight="1" x14ac:dyDescent="0.25">
      <c r="C962" s="2"/>
      <c r="I962" s="2"/>
    </row>
    <row r="963" spans="3:9" ht="15.75" customHeight="1" x14ac:dyDescent="0.25">
      <c r="C963" s="2"/>
      <c r="I963" s="2"/>
    </row>
    <row r="964" spans="3:9" ht="15.75" customHeight="1" x14ac:dyDescent="0.25">
      <c r="C964" s="2"/>
      <c r="I964" s="2"/>
    </row>
    <row r="965" spans="3:9" ht="15.75" customHeight="1" x14ac:dyDescent="0.25">
      <c r="C965" s="2"/>
      <c r="I965" s="2"/>
    </row>
    <row r="966" spans="3:9" ht="15.75" customHeight="1" x14ac:dyDescent="0.25">
      <c r="C966" s="2"/>
      <c r="I966" s="2"/>
    </row>
    <row r="967" spans="3:9" ht="15.75" customHeight="1" x14ac:dyDescent="0.25">
      <c r="C967" s="2"/>
      <c r="I967" s="2"/>
    </row>
    <row r="968" spans="3:9" ht="15.75" customHeight="1" x14ac:dyDescent="0.25">
      <c r="C968" s="2"/>
      <c r="I968" s="2"/>
    </row>
    <row r="969" spans="3:9" ht="15.75" customHeight="1" x14ac:dyDescent="0.25">
      <c r="C969" s="2"/>
      <c r="I969" s="2"/>
    </row>
    <row r="970" spans="3:9" ht="15.75" customHeight="1" x14ac:dyDescent="0.25">
      <c r="C970" s="2"/>
      <c r="I970" s="2"/>
    </row>
    <row r="971" spans="3:9" ht="15.75" customHeight="1" x14ac:dyDescent="0.25">
      <c r="C971" s="2"/>
      <c r="I971" s="2"/>
    </row>
    <row r="972" spans="3:9" ht="15.75" customHeight="1" x14ac:dyDescent="0.25">
      <c r="C972" s="2"/>
      <c r="I972" s="2"/>
    </row>
    <row r="973" spans="3:9" ht="15.75" customHeight="1" x14ac:dyDescent="0.25">
      <c r="C973" s="2"/>
      <c r="I973" s="2"/>
    </row>
    <row r="974" spans="3:9" ht="15.75" customHeight="1" x14ac:dyDescent="0.25">
      <c r="C974" s="2"/>
      <c r="I974" s="2"/>
    </row>
    <row r="975" spans="3:9" ht="15.75" customHeight="1" x14ac:dyDescent="0.25">
      <c r="C975" s="2"/>
      <c r="I975" s="2"/>
    </row>
    <row r="976" spans="3:9" ht="15.75" customHeight="1" x14ac:dyDescent="0.25">
      <c r="C976" s="2"/>
      <c r="I976" s="2"/>
    </row>
    <row r="977" spans="3:9" ht="15.75" customHeight="1" x14ac:dyDescent="0.25">
      <c r="C977" s="2"/>
      <c r="I977" s="2"/>
    </row>
    <row r="978" spans="3:9" ht="15.75" customHeight="1" x14ac:dyDescent="0.25">
      <c r="C978" s="2"/>
      <c r="I978" s="2"/>
    </row>
    <row r="979" spans="3:9" ht="15.75" customHeight="1" x14ac:dyDescent="0.25">
      <c r="C979" s="2"/>
      <c r="I979" s="2"/>
    </row>
    <row r="980" spans="3:9" ht="15.75" customHeight="1" x14ac:dyDescent="0.25">
      <c r="C980" s="2"/>
      <c r="I980" s="2"/>
    </row>
    <row r="981" spans="3:9" ht="15.75" customHeight="1" x14ac:dyDescent="0.25">
      <c r="C981" s="2"/>
      <c r="I981" s="2"/>
    </row>
    <row r="982" spans="3:9" ht="15.75" customHeight="1" x14ac:dyDescent="0.25">
      <c r="C982" s="2"/>
      <c r="I982" s="2"/>
    </row>
    <row r="983" spans="3:9" ht="15.75" customHeight="1" x14ac:dyDescent="0.25">
      <c r="C983" s="2"/>
      <c r="I983" s="2"/>
    </row>
    <row r="984" spans="3:9" ht="15.75" customHeight="1" x14ac:dyDescent="0.25">
      <c r="C984" s="2"/>
      <c r="I984" s="2"/>
    </row>
    <row r="985" spans="3:9" ht="15.75" customHeight="1" x14ac:dyDescent="0.25">
      <c r="C985" s="2"/>
      <c r="I985" s="2"/>
    </row>
    <row r="986" spans="3:9" ht="15.75" customHeight="1" x14ac:dyDescent="0.25">
      <c r="C986" s="2"/>
      <c r="I986" s="2"/>
    </row>
    <row r="987" spans="3:9" ht="15.75" customHeight="1" x14ac:dyDescent="0.25">
      <c r="C987" s="2"/>
      <c r="I987" s="2"/>
    </row>
    <row r="988" spans="3:9" ht="15.75" customHeight="1" x14ac:dyDescent="0.25">
      <c r="C988" s="2"/>
      <c r="I988" s="2"/>
    </row>
    <row r="989" spans="3:9" ht="15.75" customHeight="1" x14ac:dyDescent="0.25">
      <c r="C989" s="2"/>
      <c r="I989" s="2"/>
    </row>
    <row r="990" spans="3:9" ht="15.75" customHeight="1" x14ac:dyDescent="0.25">
      <c r="C990" s="2"/>
      <c r="I990" s="2"/>
    </row>
    <row r="991" spans="3:9" ht="15.75" customHeight="1" x14ac:dyDescent="0.25">
      <c r="C991" s="2"/>
      <c r="I991" s="2"/>
    </row>
    <row r="992" spans="3:9" ht="15.75" customHeight="1" x14ac:dyDescent="0.25">
      <c r="C992" s="2"/>
      <c r="I992" s="2"/>
    </row>
    <row r="993" spans="3:9" ht="15.75" customHeight="1" x14ac:dyDescent="0.25">
      <c r="C993" s="2"/>
      <c r="I993" s="2"/>
    </row>
    <row r="994" spans="3:9" ht="15.75" customHeight="1" x14ac:dyDescent="0.25">
      <c r="C994" s="2"/>
      <c r="I994" s="2"/>
    </row>
    <row r="995" spans="3:9" ht="15.75" customHeight="1" x14ac:dyDescent="0.25">
      <c r="C995" s="2"/>
      <c r="I995" s="2"/>
    </row>
    <row r="996" spans="3:9" ht="15.75" customHeight="1" x14ac:dyDescent="0.25">
      <c r="C996" s="2"/>
      <c r="I996" s="2"/>
    </row>
    <row r="997" spans="3:9" ht="15.75" customHeight="1" x14ac:dyDescent="0.25">
      <c r="C997" s="2"/>
      <c r="I997" s="2"/>
    </row>
    <row r="998" spans="3:9" ht="15.75" customHeight="1" x14ac:dyDescent="0.25">
      <c r="C998" s="2"/>
      <c r="I998" s="2"/>
    </row>
    <row r="999" spans="3:9" ht="15.75" customHeight="1" x14ac:dyDescent="0.25">
      <c r="C999" s="2"/>
      <c r="I999" s="2"/>
    </row>
    <row r="1000" spans="3:9" ht="15.75" customHeight="1" x14ac:dyDescent="0.25">
      <c r="C1000" s="2"/>
      <c r="I1000" s="2"/>
    </row>
    <row r="1001" spans="3:9" ht="15.75" customHeight="1" x14ac:dyDescent="0.25">
      <c r="C1001" s="1"/>
      <c r="I1001" s="2"/>
    </row>
    <row r="1002" spans="3:9" ht="15.75" customHeight="1" x14ac:dyDescent="0.25">
      <c r="C1002" s="1"/>
      <c r="I1002" s="2"/>
    </row>
  </sheetData>
  <autoFilter ref="A1:Z1002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CLEAN DATA</vt:lpstr>
      <vt:lpstr>TASK</vt:lpstr>
      <vt:lpstr>TASK 1 &amp; 2 with Pivot Tables</vt:lpstr>
      <vt:lpstr>Statistical Measures</vt:lpstr>
      <vt:lpstr>CHARTS</vt:lpstr>
      <vt:lpstr>Korelacja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Ryniewicz, Grzegorz (AES)</dc:creator>
  <cp:lastModifiedBy>Ryniewicz, Grzegorz (AES)</cp:lastModifiedBy>
  <dcterms:created xsi:type="dcterms:W3CDTF">2025-11-28T14:06:22Z</dcterms:created>
  <dcterms:modified xsi:type="dcterms:W3CDTF">2025-11-28T14:06:22Z</dcterms:modified>
</cp:coreProperties>
</file>