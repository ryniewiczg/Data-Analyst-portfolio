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ynieG18652\OneDrive - PerkinElmer Inc\Desktop\Insights\GitHub\Portfolio\Statistics\Correlation analysis and regression models\"/>
    </mc:Choice>
  </mc:AlternateContent>
  <xr:revisionPtr revIDLastSave="0" documentId="13_ncr:1_{22BE5BA2-0FC8-45DF-B296-91350B4A272F}" xr6:coauthVersionLast="47" xr6:coauthVersionMax="47" xr10:uidLastSave="{00000000-0000-0000-0000-000000000000}"/>
  <bookViews>
    <workbookView xWindow="-108" yWindow="-108" windowWidth="23256" windowHeight="12456" tabRatio="817" xr2:uid="{00000000-000D-0000-FFFF-FFFF00000000}"/>
  </bookViews>
  <sheets>
    <sheet name="EMPLOYEE RAW" sheetId="1" r:id="rId1"/>
    <sheet name="TASK" sheetId="2" r:id="rId2"/>
    <sheet name="Measures of central tendency" sheetId="3" r:id="rId3"/>
    <sheet name=" Measures of dispersion" sheetId="5" r:id="rId4"/>
    <sheet name="Correlation" sheetId="6" r:id="rId5"/>
    <sheet name="Regression" sheetId="7" r:id="rId6"/>
    <sheet name="Application of all measures" sheetId="8" r:id="rId7"/>
    <sheet name="Interpretation of results" sheetId="9" r:id="rId8"/>
    <sheet name="CHARTS" sheetId="10" r:id="rId9"/>
  </sheets>
  <definedNames>
    <definedName name="_xlchart.v1.0" hidden="1">'EMPLOYEE RAW'!$B$2:$B$101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F6SDyDl8XESSc9a8GzWqajCslIGrbdoRq7zm8jhA2c="/>
    </ext>
  </extLst>
</workbook>
</file>

<file path=xl/calcChain.xml><?xml version="1.0" encoding="utf-8"?>
<calcChain xmlns="http://schemas.openxmlformats.org/spreadsheetml/2006/main">
  <c r="A15" i="8" l="1" a="1"/>
  <c r="A15" i="8" s="1"/>
  <c r="A13" i="8" a="1"/>
  <c r="A13" i="8" s="1"/>
  <c r="A9" i="8"/>
  <c r="A6" i="8"/>
  <c r="A3" i="8"/>
  <c r="A8" i="7"/>
  <c r="A5" i="7"/>
  <c r="A2" i="7"/>
  <c r="A5" i="6"/>
  <c r="A2" i="6"/>
  <c r="A8" i="5"/>
  <c r="A5" i="5"/>
  <c r="A2" i="5"/>
  <c r="A5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<sst xmlns="http://schemas.openxmlformats.org/spreadsheetml/2006/main" count="287" uniqueCount="90">
  <si>
    <t>Age</t>
  </si>
  <si>
    <t>Salary</t>
  </si>
  <si>
    <t>Experience_Years</t>
  </si>
  <si>
    <t>Education_Years</t>
  </si>
  <si>
    <t>Satisfaction_Score</t>
  </si>
  <si>
    <t>Hours_Worked_Per_Week</t>
  </si>
  <si>
    <t>Annual_Leave_Days</t>
  </si>
  <si>
    <t>Performance_Level</t>
  </si>
  <si>
    <t>Department</t>
  </si>
  <si>
    <t>Medium</t>
  </si>
  <si>
    <t>Marketing</t>
  </si>
  <si>
    <t>High</t>
  </si>
  <si>
    <t>Operations</t>
  </si>
  <si>
    <t>Low</t>
  </si>
  <si>
    <t>HR</t>
  </si>
  <si>
    <t>Finance</t>
  </si>
  <si>
    <t>IT</t>
  </si>
  <si>
    <t>Homework:</t>
  </si>
  <si>
    <t>1. Measures of central tendency (mean, median, mode):</t>
  </si>
  <si>
    <t>a) Calculate the average annual salary in the dataset.</t>
  </si>
  <si>
    <t>b) What is the median number of years of work experience?</t>
  </si>
  <si>
    <t>c) In which department does the largest number of employees work?</t>
  </si>
  <si>
    <t>2. Measures of dispersion (variance, standard deviation, range):</t>
  </si>
  <si>
    <t>a) Calculate the standard deviation of the number of working hours per week.</t>
  </si>
  <si>
    <t>b) How large is the dispersion of job satisfaction scores? Calculate the variance.</t>
  </si>
  <si>
    <t>c) What is the range of the number of vacation days?</t>
  </si>
  <si>
    <t>3. Correlation:</t>
  </si>
  <si>
    <t>a) What is the correlation between the number of years of work experience and salary? Can we say there is a significant relationship?</t>
  </si>
  <si>
    <t>b) Calculate the correlation between the number of weekly working hours and job satisfaction. How do you interpret it?</t>
  </si>
  <si>
    <t>4. Regression:</t>
  </si>
  <si>
    <r>
      <t xml:space="preserve">a) How will the </t>
    </r>
    <r>
      <rPr>
        <i/>
        <sz val="10"/>
        <color rgb="FF000000"/>
        <rFont val="Arial"/>
        <scheme val="minor"/>
      </rPr>
      <t>Satisfaction_Score</t>
    </r>
    <r>
      <rPr>
        <sz val="10"/>
        <color rgb="FF000000"/>
        <rFont val="Arial"/>
        <scheme val="minor"/>
      </rPr>
      <t xml:space="preserve"> change if </t>
    </r>
    <r>
      <rPr>
        <i/>
        <sz val="10"/>
        <color rgb="FF000000"/>
        <rFont val="Arial"/>
        <scheme val="minor"/>
      </rPr>
      <t>Experience_Years</t>
    </r>
    <r>
      <rPr>
        <sz val="10"/>
        <color rgb="FF000000"/>
        <rFont val="Arial"/>
        <scheme val="minor"/>
      </rPr>
      <t xml:space="preserve"> increases by one unit?</t>
    </r>
  </si>
  <si>
    <t>Calculate and interpret:</t>
  </si>
  <si>
    <t>the regression coefficients;</t>
  </si>
  <si>
    <t>R²;</t>
  </si>
  <si>
    <t>optionally: F-test significance.</t>
  </si>
  <si>
    <t>5. Application of all measures:</t>
  </si>
  <si>
    <t>a) Create a statistical report for the variable "number of years of work experience," including: mean, median, and standard deviation.</t>
  </si>
  <si>
    <t>b) Do employees in the IT department have more dispersed salary distributions than employees in the HR department? Compare the variances.</t>
  </si>
  <si>
    <t>6. Interpretation of results:</t>
  </si>
  <si>
    <t>a) Why is it useful to use the median instead of the mean when analyzing salaries?</t>
  </si>
  <si>
    <t>b) What conclusions can be drawn from a high positive correlation between years of education and salary?</t>
  </si>
  <si>
    <t>7. Visualizations:</t>
  </si>
  <si>
    <r>
      <t xml:space="preserve">a) Create a histogram for the variable </t>
    </r>
    <r>
      <rPr>
        <i/>
        <sz val="10"/>
        <color rgb="FF000000"/>
        <rFont val="Arial"/>
        <scheme val="minor"/>
      </rPr>
      <t>Salary</t>
    </r>
    <r>
      <rPr>
        <sz val="10"/>
        <color rgb="FF000000"/>
        <rFont val="Arial"/>
        <scheme val="minor"/>
      </rPr>
      <t xml:space="preserve"> and assess the distribution.</t>
    </r>
  </si>
  <si>
    <t>b) Draw a scatter plot showing the relationship between the number of weekly working hours and job satisfaction.</t>
  </si>
  <si>
    <t>Row Labels</t>
  </si>
  <si>
    <t>Grand Total</t>
  </si>
  <si>
    <t>Count of Department</t>
  </si>
  <si>
    <t>R²</t>
  </si>
  <si>
    <t>The mean is affected by extreme values — a few highly paid employees can pull it upward. The median better represents the typical salary.</t>
  </si>
  <si>
    <t>More years of education typically correspond to higher salaries. A high positive correlation shows a relationship but does not prove causation.</t>
  </si>
  <si>
    <t>7a) Histogram Salary</t>
  </si>
  <si>
    <t>7b) Scatter plot: Hours vs Satisfaction</t>
  </si>
  <si>
    <t>1a) Average annual salary</t>
  </si>
  <si>
    <t>1b) Median years of experience</t>
  </si>
  <si>
    <t>1c) Most frequent department (mode)</t>
  </si>
  <si>
    <r>
      <t xml:space="preserve">The average annual salary is approximately </t>
    </r>
    <r>
      <rPr>
        <b/>
        <sz val="10"/>
        <color rgb="FF000000"/>
        <rFont val="Arial"/>
        <scheme val="minor"/>
      </rPr>
      <t>51,027</t>
    </r>
    <r>
      <rPr>
        <sz val="10"/>
        <color rgb="FF000000"/>
        <rFont val="Arial"/>
        <scheme val="minor"/>
      </rPr>
      <t>, which represents the typical employee’s earnings in this dataset.</t>
    </r>
  </si>
  <si>
    <r>
      <t xml:space="preserve">The median is </t>
    </r>
    <r>
      <rPr>
        <b/>
        <sz val="10"/>
        <color rgb="FF000000"/>
        <rFont val="Arial"/>
        <scheme val="minor"/>
      </rPr>
      <t>10 years</t>
    </r>
    <r>
      <rPr>
        <sz val="10"/>
        <color rgb="FF000000"/>
        <rFont val="Arial"/>
        <scheme val="minor"/>
      </rPr>
      <t xml:space="preserve">, meaning that half of the employees have </t>
    </r>
    <r>
      <rPr>
        <b/>
        <sz val="10"/>
        <color rgb="FF000000"/>
        <rFont val="Arial"/>
        <scheme val="minor"/>
      </rPr>
      <t>10 years of experience or less</t>
    </r>
    <r>
      <rPr>
        <sz val="10"/>
        <color rgb="FF000000"/>
        <rFont val="Arial"/>
        <scheme val="minor"/>
      </rPr>
      <t xml:space="preserve">, and the other half have </t>
    </r>
    <r>
      <rPr>
        <b/>
        <sz val="10"/>
        <color rgb="FF000000"/>
        <rFont val="Arial"/>
        <scheme val="minor"/>
      </rPr>
      <t>10 years or more</t>
    </r>
    <r>
      <rPr>
        <sz val="10"/>
        <color rgb="FF000000"/>
        <rFont val="Arial"/>
        <scheme val="minor"/>
      </rPr>
      <t>.</t>
    </r>
  </si>
  <si>
    <r>
      <t xml:space="preserve">The most frequent department is </t>
    </r>
    <r>
      <rPr>
        <b/>
        <sz val="10"/>
        <color rgb="FF000000"/>
        <rFont val="Arial"/>
        <scheme val="minor"/>
      </rPr>
      <t>Finance</t>
    </r>
    <r>
      <rPr>
        <sz val="10"/>
        <color rgb="FF000000"/>
        <rFont val="Arial"/>
        <scheme val="minor"/>
      </rPr>
      <t xml:space="preserve">, with </t>
    </r>
    <r>
      <rPr>
        <b/>
        <sz val="10"/>
        <color rgb="FF000000"/>
        <rFont val="Arial"/>
        <scheme val="minor"/>
      </rPr>
      <t>24 employees</t>
    </r>
    <r>
      <rPr>
        <sz val="10"/>
        <color rgb="FF000000"/>
        <rFont val="Arial"/>
        <scheme val="minor"/>
      </rPr>
      <t>, making it the largest department in the company</t>
    </r>
  </si>
  <si>
    <r>
      <t xml:space="preserve">A standard deviation of about </t>
    </r>
    <r>
      <rPr>
        <b/>
        <sz val="10"/>
        <color rgb="FF000000"/>
        <rFont val="Arial"/>
        <scheme val="minor"/>
      </rPr>
      <t>11.7 hours</t>
    </r>
    <r>
      <rPr>
        <sz val="10"/>
        <color rgb="FF000000"/>
        <rFont val="Arial"/>
        <scheme val="minor"/>
      </rPr>
      <t xml:space="preserve"> indicates that working hours vary considerably across employees — the work schedules are quite diverse</t>
    </r>
  </si>
  <si>
    <t>2a) Standard deviation of working hours</t>
  </si>
  <si>
    <t>2b) Variance of job satisfaction</t>
  </si>
  <si>
    <r>
      <t xml:space="preserve">A variance of approximately </t>
    </r>
    <r>
      <rPr>
        <b/>
        <sz val="10"/>
        <color rgb="FF000000"/>
        <rFont val="Arial"/>
        <scheme val="minor"/>
      </rPr>
      <t>6.14</t>
    </r>
    <r>
      <rPr>
        <sz val="10"/>
        <color rgb="FF000000"/>
        <rFont val="Arial"/>
        <scheme val="minor"/>
      </rPr>
      <t xml:space="preserve"> suggests moderate variability in job satisfaction among employees</t>
    </r>
  </si>
  <si>
    <t>2c) Range of vacation days</t>
  </si>
  <si>
    <t>The range shows the difference between the employee with the fewest and the most vacation days — indicating varied leave policies or differences in tenure</t>
  </si>
  <si>
    <t>3a) Correlation: experience vs salary</t>
  </si>
  <si>
    <r>
      <t xml:space="preserve">The correlation is </t>
    </r>
    <r>
      <rPr>
        <b/>
        <sz val="10"/>
        <color rgb="FF000000"/>
        <rFont val="Arial"/>
        <family val="2"/>
        <scheme val="minor"/>
      </rPr>
      <t>very weak and positive</t>
    </r>
    <r>
      <rPr>
        <sz val="10"/>
        <color rgb="FF000000"/>
        <rFont val="Arial"/>
        <family val="2"/>
        <scheme val="minor"/>
      </rPr>
      <t xml:space="preserve">, almost zero. This means that years of experience </t>
    </r>
    <r>
      <rPr>
        <b/>
        <sz val="10"/>
        <color rgb="FF000000"/>
        <rFont val="Arial"/>
        <family val="2"/>
        <scheme val="minor"/>
      </rPr>
      <t>do not meaningfully influence salary</t>
    </r>
    <r>
      <rPr>
        <sz val="10"/>
        <color rgb="FF000000"/>
        <rFont val="Arial"/>
        <family val="2"/>
        <scheme val="minor"/>
      </rPr>
      <t xml:space="preserve"> in this dataset</t>
    </r>
  </si>
  <si>
    <t>3b) Correlation: working hours vs satisfaction</t>
  </si>
  <si>
    <r>
      <t xml:space="preserve">The correlation is close to zero, meaning that weekly working hours </t>
    </r>
    <r>
      <rPr>
        <b/>
        <sz val="10"/>
        <color rgb="FF000000"/>
        <rFont val="Arial"/>
        <family val="2"/>
        <scheme val="minor"/>
      </rPr>
      <t>have virtually no relationship</t>
    </r>
    <r>
      <rPr>
        <sz val="10"/>
        <color rgb="FF000000"/>
        <rFont val="Arial"/>
        <family val="2"/>
        <scheme val="minor"/>
      </rPr>
      <t xml:space="preserve"> with job satisfaction</t>
    </r>
  </si>
  <si>
    <t>Slope</t>
  </si>
  <si>
    <r>
      <t xml:space="preserve">The negative slope indicates that increasing experience by 1 year is associated with a </t>
    </r>
    <r>
      <rPr>
        <b/>
        <sz val="10"/>
        <color rgb="FF000000"/>
        <rFont val="Arial"/>
        <family val="2"/>
        <scheme val="minor"/>
      </rPr>
      <t>decrease in satisfaction</t>
    </r>
    <r>
      <rPr>
        <sz val="10"/>
        <color rgb="FF000000"/>
        <rFont val="Arial"/>
        <family val="2"/>
        <scheme val="minor"/>
      </rPr>
      <t xml:space="preserve"> of about </t>
    </r>
    <r>
      <rPr>
        <b/>
        <sz val="10"/>
        <color rgb="FF000000"/>
        <rFont val="Arial"/>
        <family val="2"/>
        <scheme val="minor"/>
      </rPr>
      <t>0.056 points</t>
    </r>
    <r>
      <rPr>
        <sz val="10"/>
        <color rgb="FF000000"/>
        <rFont val="Arial"/>
        <family val="2"/>
        <scheme val="minor"/>
      </rPr>
      <t>, although the effect is very small</t>
    </r>
  </si>
  <si>
    <r>
      <t xml:space="preserve">The intercept represents the predicted satisfaction score for an employee with zero years of experience — about </t>
    </r>
    <r>
      <rPr>
        <b/>
        <sz val="10"/>
        <color rgb="FF000000"/>
        <rFont val="Arial"/>
        <family val="2"/>
        <scheme val="minor"/>
      </rPr>
      <t>6.13 points</t>
    </r>
  </si>
  <si>
    <r>
      <t xml:space="preserve">An R² of </t>
    </r>
    <r>
      <rPr>
        <b/>
        <sz val="10"/>
        <color rgb="FF000000"/>
        <rFont val="Arial"/>
        <family val="2"/>
        <scheme val="minor"/>
      </rPr>
      <t>0.005</t>
    </r>
    <r>
      <rPr>
        <sz val="10"/>
        <color rgb="FF000000"/>
        <rFont val="Arial"/>
        <family val="2"/>
        <scheme val="minor"/>
      </rPr>
      <t xml:space="preserve"> means the model explains </t>
    </r>
    <r>
      <rPr>
        <b/>
        <sz val="10"/>
        <color rgb="FF000000"/>
        <rFont val="Arial"/>
        <family val="2"/>
        <scheme val="minor"/>
      </rPr>
      <t>only 0.5% of the variation</t>
    </r>
    <r>
      <rPr>
        <sz val="10"/>
        <color rgb="FF000000"/>
        <rFont val="Arial"/>
        <family val="2"/>
        <scheme val="minor"/>
      </rPr>
      <t xml:space="preserve"> in satisfaction. The model </t>
    </r>
    <r>
      <rPr>
        <b/>
        <sz val="10"/>
        <color rgb="FF000000"/>
        <rFont val="Arial"/>
        <family val="2"/>
        <scheme val="minor"/>
      </rPr>
      <t>has almost no explanatory power</t>
    </r>
  </si>
  <si>
    <t>Intercept</t>
  </si>
  <si>
    <t>5a) Experience statistics:</t>
  </si>
  <si>
    <t>Median</t>
  </si>
  <si>
    <t>Mean</t>
  </si>
  <si>
    <t>Sd</t>
  </si>
  <si>
    <t>5b) Variance comparison: IT vs HR</t>
  </si>
  <si>
    <t>HR variance:</t>
  </si>
  <si>
    <r>
      <t xml:space="preserve">The distribution of years of experience is </t>
    </r>
    <r>
      <rPr>
        <b/>
        <sz val="10"/>
        <color rgb="FF000000"/>
        <rFont val="Arial"/>
        <family val="2"/>
        <scheme val="minor"/>
      </rPr>
      <t>symmetrical</t>
    </r>
    <r>
      <rPr>
        <sz val="10"/>
        <color rgb="FF000000"/>
        <rFont val="Arial"/>
        <family val="2"/>
        <scheme val="minor"/>
      </rPr>
      <t xml:space="preserve">, as the mean and median are nearly identical. A standard deviation of about </t>
    </r>
    <r>
      <rPr>
        <b/>
        <sz val="10"/>
        <color rgb="FF000000"/>
        <rFont val="Arial"/>
        <family val="2"/>
        <scheme val="minor"/>
      </rPr>
      <t>3.24</t>
    </r>
    <r>
      <rPr>
        <sz val="10"/>
        <color rgb="FF000000"/>
        <rFont val="Arial"/>
        <family val="2"/>
        <scheme val="minor"/>
      </rPr>
      <t xml:space="preserve"> indicates moderate variability among employees.</t>
    </r>
  </si>
  <si>
    <r>
      <t xml:space="preserve">The variance in the </t>
    </r>
    <r>
      <rPr>
        <b/>
        <sz val="10"/>
        <color rgb="FF000000"/>
        <rFont val="Arial"/>
        <family val="2"/>
        <scheme val="minor"/>
      </rPr>
      <t>IT</t>
    </r>
    <r>
      <rPr>
        <sz val="10"/>
        <color rgb="FF000000"/>
        <rFont val="Arial"/>
        <family val="2"/>
        <scheme val="minor"/>
      </rPr>
      <t xml:space="preserve"> department is much higher, meaning salaries in IT are </t>
    </r>
    <r>
      <rPr>
        <b/>
        <sz val="10"/>
        <color rgb="FF000000"/>
        <rFont val="Arial"/>
        <family val="2"/>
        <scheme val="minor"/>
      </rPr>
      <t>far more dispersed</t>
    </r>
    <r>
      <rPr>
        <sz val="10"/>
        <color rgb="FF000000"/>
        <rFont val="Arial"/>
        <family val="2"/>
        <scheme val="minor"/>
      </rPr>
      <t xml:space="preserve"> compared to HR. Salaries in HR are more </t>
    </r>
    <r>
      <rPr>
        <b/>
        <sz val="10"/>
        <color rgb="FF000000"/>
        <rFont val="Arial"/>
        <family val="2"/>
        <scheme val="minor"/>
      </rPr>
      <t>stable and consistent</t>
    </r>
    <r>
      <rPr>
        <sz val="10"/>
        <color rgb="FF000000"/>
        <rFont val="Arial"/>
        <family val="2"/>
        <scheme val="minor"/>
      </rPr>
      <t>.</t>
    </r>
  </si>
  <si>
    <t>IT variance:</t>
  </si>
  <si>
    <t>6a) Why use the median for salary?</t>
  </si>
  <si>
    <t>6b) High positive correlation: education vs salary</t>
  </si>
  <si>
    <r>
      <t xml:space="preserve">The scatter plot shows </t>
    </r>
    <r>
      <rPr>
        <b/>
        <sz val="10"/>
        <color rgb="FF000000"/>
        <rFont val="Arial"/>
        <family val="2"/>
        <scheme val="minor"/>
      </rPr>
      <t>no clear relationship</t>
    </r>
    <r>
      <rPr>
        <sz val="10"/>
        <color rgb="FF000000"/>
        <rFont val="Arial"/>
        <family val="2"/>
        <scheme val="minor"/>
      </rPr>
      <t xml:space="preserve"> between weekly working hours and job satisfaction.</t>
    </r>
  </si>
  <si>
    <r>
      <t xml:space="preserve">The points appear </t>
    </r>
    <r>
      <rPr>
        <b/>
        <sz val="10"/>
        <color rgb="FF000000"/>
        <rFont val="Arial"/>
        <family val="2"/>
        <scheme val="minor"/>
      </rPr>
      <t>randomly scattered</t>
    </r>
    <r>
      <rPr>
        <sz val="10"/>
        <color rgb="FF000000"/>
        <rFont val="Arial"/>
        <family val="2"/>
        <scheme val="minor"/>
      </rPr>
      <t>, with no upward or downward trend, which is consistent with the very low correlation value (~0.03).</t>
    </r>
  </si>
  <si>
    <r>
      <t xml:space="preserve">This means that, in this dataset, </t>
    </r>
    <r>
      <rPr>
        <b/>
        <sz val="10"/>
        <color rgb="FF000000"/>
        <rFont val="Arial"/>
        <family val="2"/>
        <scheme val="minor"/>
      </rPr>
      <t>the number of hours worked does not significantly affect employee satisfaction</t>
    </r>
    <r>
      <rPr>
        <sz val="10"/>
        <color rgb="FF000000"/>
        <rFont val="Arial"/>
        <family val="2"/>
        <scheme val="minor"/>
      </rPr>
      <t>.</t>
    </r>
  </si>
  <si>
    <r>
      <t xml:space="preserve">The histogram shows that employee salaries are </t>
    </r>
    <r>
      <rPr>
        <b/>
        <sz val="10"/>
        <color rgb="FF000000"/>
        <rFont val="Arial"/>
        <family val="2"/>
        <scheme val="minor"/>
      </rPr>
      <t>quite varied</t>
    </r>
    <r>
      <rPr>
        <sz val="10"/>
        <color rgb="FF000000"/>
        <rFont val="Arial"/>
        <family val="2"/>
        <scheme val="minor"/>
      </rPr>
      <t xml:space="preserve">, but most employees fall within the </t>
    </r>
    <r>
      <rPr>
        <b/>
        <sz val="10"/>
        <color rgb="FF000000"/>
        <rFont val="Arial"/>
        <family val="2"/>
        <scheme val="minor"/>
      </rPr>
      <t>35,000–55,000</t>
    </r>
    <r>
      <rPr>
        <sz val="10"/>
        <color rgb="FF000000"/>
        <rFont val="Arial"/>
        <family val="2"/>
        <scheme val="minor"/>
      </rPr>
      <t xml:space="preserve"> range.</t>
    </r>
  </si>
  <si>
    <r>
      <t xml:space="preserve">The distribution is slightly </t>
    </r>
    <r>
      <rPr>
        <b/>
        <sz val="10"/>
        <color rgb="FF000000"/>
        <rFont val="Arial"/>
        <family val="2"/>
        <scheme val="minor"/>
      </rPr>
      <t>right-skewed</t>
    </r>
    <r>
      <rPr>
        <sz val="10"/>
        <color rgb="FF000000"/>
        <rFont val="Arial"/>
        <family val="2"/>
        <scheme val="minor"/>
      </rPr>
      <t>, as a few employees earn significantly more than the rest.</t>
    </r>
  </si>
  <si>
    <r>
      <t xml:space="preserve">This indicates that while the majority of salaries cluster around the mid-range levels, there is a smaller group with </t>
    </r>
    <r>
      <rPr>
        <b/>
        <sz val="10"/>
        <color rgb="FF000000"/>
        <rFont val="Arial"/>
        <family val="2"/>
        <scheme val="minor"/>
      </rPr>
      <t>higher earnings</t>
    </r>
    <r>
      <rPr>
        <sz val="10"/>
        <color rgb="FF000000"/>
        <rFont val="Arial"/>
        <family val="2"/>
        <scheme val="minor"/>
      </rPr>
      <t>, creating a long tail on the right side.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</si>
</sst>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000000"/>
      <name val="Arial"/>
      <scheme val="minor"/>
    </font>
    <font>
      <b/>
      <sz val="13.5"/>
      <color rgb="FF000000"/>
      <name val="Arial"/>
      <scheme val="minor"/>
    </font>
    <font>
      <i/>
      <sz val="10"/>
      <color rgb="FF000000"/>
      <name val="Arial"/>
      <scheme val="minor"/>
    </font>
    <font>
      <b/>
      <sz val="13.5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1"/>
      <color theme="9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 pivotButton="1" applyAlignment="1">
      <alignment horizontal="left"/>
    </xf>
    <xf numFmtId="0" fontId="8" fillId="2" borderId="0" xfId="0" applyFont="1" applyFill="1" applyAlignment="1">
      <alignment horizontal="left"/>
    </xf>
    <xf numFmtId="4" fontId="7" fillId="0" borderId="0" xfId="0" applyNumberFormat="1" applyFont="1" applyAlignment="1">
      <alignment horizontal="left"/>
    </xf>
    <xf numFmtId="0" fontId="9" fillId="0" borderId="0" xfId="0" applyFont="1"/>
    <xf numFmtId="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7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left"/>
    </xf>
  </cellXfs>
  <cellStyles count="1">
    <cellStyle name="Normal" xfId="0" builtinId="0"/>
  </cellStyles>
  <dxfs count="10">
    <dxf>
      <font>
        <sz val="11"/>
      </font>
    </dxf>
    <dxf>
      <font>
        <b/>
      </font>
    </dxf>
    <dxf>
      <font>
        <color theme="9" tint="-0.499984740745262"/>
      </font>
    </dxf>
    <dxf>
      <fill>
        <patternFill patternType="none">
          <bgColor auto="1"/>
        </patternFill>
      </fill>
    </dxf>
    <dxf>
      <font>
        <color theme="0"/>
      </font>
    </dxf>
    <dxf>
      <font>
        <b/>
        <family val="2"/>
      </font>
    </dxf>
    <dxf>
      <fill>
        <patternFill patternType="solid">
          <bgColor theme="9" tint="-0.249977111117893"/>
        </patternFill>
      </fill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/>
              <a:t>Relationship Between Working Hours and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'EMPLOYEE RAW'!$E$2:$E$101</c:f>
              <c:numCache>
                <c:formatCode>#,##0.00</c:formatCode>
                <c:ptCount val="100"/>
                <c:pt idx="0">
                  <c:v>6.2663457909292397</c:v>
                </c:pt>
                <c:pt idx="1">
                  <c:v>7.5350875966466297</c:v>
                </c:pt>
                <c:pt idx="2">
                  <c:v>7.8137308183821004</c:v>
                </c:pt>
                <c:pt idx="3">
                  <c:v>4.4006549434820696</c:v>
                </c:pt>
                <c:pt idx="4">
                  <c:v>3.1697634909666799</c:v>
                </c:pt>
                <c:pt idx="5">
                  <c:v>2.84540795655872</c:v>
                </c:pt>
                <c:pt idx="6">
                  <c:v>3.2629819556061799</c:v>
                </c:pt>
                <c:pt idx="7">
                  <c:v>3.4725861732331702</c:v>
                </c:pt>
                <c:pt idx="8">
                  <c:v>2.8650488410724999</c:v>
                </c:pt>
                <c:pt idx="9">
                  <c:v>8.9039860073127297</c:v>
                </c:pt>
                <c:pt idx="10">
                  <c:v>7.8129921895500498</c:v>
                </c:pt>
                <c:pt idx="11">
                  <c:v>1.4220682101209701</c:v>
                </c:pt>
                <c:pt idx="12">
                  <c:v>3.4180523382277599</c:v>
                </c:pt>
                <c:pt idx="13">
                  <c:v>1.19966267827271</c:v>
                </c:pt>
                <c:pt idx="14">
                  <c:v>5.48348667981303</c:v>
                </c:pt>
                <c:pt idx="15">
                  <c:v>5.2858962711011204</c:v>
                </c:pt>
                <c:pt idx="16">
                  <c:v>8.4823434105625104</c:v>
                </c:pt>
                <c:pt idx="17">
                  <c:v>3.76999515793944</c:v>
                </c:pt>
                <c:pt idx="18">
                  <c:v>8.3474716169175593</c:v>
                </c:pt>
                <c:pt idx="19">
                  <c:v>9.7117638889583997</c:v>
                </c:pt>
                <c:pt idx="20">
                  <c:v>1.79567401029081</c:v>
                </c:pt>
                <c:pt idx="21">
                  <c:v>8.1263605552266895</c:v>
                </c:pt>
                <c:pt idx="22">
                  <c:v>6.3096030742387201</c:v>
                </c:pt>
                <c:pt idx="23">
                  <c:v>5.3204137031662704</c:v>
                </c:pt>
                <c:pt idx="24">
                  <c:v>4.78482200798567</c:v>
                </c:pt>
                <c:pt idx="25">
                  <c:v>8.0620143754987801</c:v>
                </c:pt>
                <c:pt idx="26">
                  <c:v>6.7542522127681801</c:v>
                </c:pt>
                <c:pt idx="27">
                  <c:v>8.2454020076742491</c:v>
                </c:pt>
                <c:pt idx="28">
                  <c:v>9.2835952808963604</c:v>
                </c:pt>
                <c:pt idx="29">
                  <c:v>6.5553734088756199</c:v>
                </c:pt>
                <c:pt idx="30">
                  <c:v>9.8241645258313994</c:v>
                </c:pt>
                <c:pt idx="31">
                  <c:v>6.4727906458769597</c:v>
                </c:pt>
                <c:pt idx="32">
                  <c:v>6.72979889460054</c:v>
                </c:pt>
                <c:pt idx="33">
                  <c:v>5.9933404768800296</c:v>
                </c:pt>
                <c:pt idx="34">
                  <c:v>1.8190188194619701</c:v>
                </c:pt>
                <c:pt idx="35">
                  <c:v>7.5375732938520503</c:v>
                </c:pt>
                <c:pt idx="36">
                  <c:v>5.9270167620920002</c:v>
                </c:pt>
                <c:pt idx="37">
                  <c:v>5.0581940267449399</c:v>
                </c:pt>
                <c:pt idx="38">
                  <c:v>9.9424150562945606</c:v>
                </c:pt>
                <c:pt idx="39">
                  <c:v>3.6816350638775499</c:v>
                </c:pt>
                <c:pt idx="40">
                  <c:v>5.7124204841350998</c:v>
                </c:pt>
                <c:pt idx="41">
                  <c:v>7.2787768434411699</c:v>
                </c:pt>
                <c:pt idx="42">
                  <c:v>8.1682459810648904</c:v>
                </c:pt>
                <c:pt idx="43">
                  <c:v>5.13412127151555</c:v>
                </c:pt>
                <c:pt idx="44">
                  <c:v>8.5788227351683801</c:v>
                </c:pt>
                <c:pt idx="45">
                  <c:v>7.9202596718385703</c:v>
                </c:pt>
                <c:pt idx="46">
                  <c:v>1.5961238006667899</c:v>
                </c:pt>
                <c:pt idx="47">
                  <c:v>1.4127513976416901</c:v>
                </c:pt>
                <c:pt idx="48">
                  <c:v>6.5872511597988197</c:v>
                </c:pt>
                <c:pt idx="49">
                  <c:v>4.1267206740287197</c:v>
                </c:pt>
                <c:pt idx="50">
                  <c:v>2.8821771197066202</c:v>
                </c:pt>
                <c:pt idx="51">
                  <c:v>6.21684941024564</c:v>
                </c:pt>
                <c:pt idx="52">
                  <c:v>4.0740688941089003</c:v>
                </c:pt>
                <c:pt idx="53">
                  <c:v>5.8353707504266303</c:v>
                </c:pt>
                <c:pt idx="54">
                  <c:v>5.1410724308521401</c:v>
                </c:pt>
                <c:pt idx="55">
                  <c:v>6.2628949535423803</c:v>
                </c:pt>
                <c:pt idx="56">
                  <c:v>4.6027044001925299</c:v>
                </c:pt>
                <c:pt idx="57">
                  <c:v>7.2790081632723798</c:v>
                </c:pt>
                <c:pt idx="58">
                  <c:v>2.62060545114368</c:v>
                </c:pt>
                <c:pt idx="59">
                  <c:v>7.2685131960437097</c:v>
                </c:pt>
                <c:pt idx="60">
                  <c:v>4.70495092921775</c:v>
                </c:pt>
                <c:pt idx="61">
                  <c:v>8.8688584436897493</c:v>
                </c:pt>
                <c:pt idx="62">
                  <c:v>5.6371244937778897</c:v>
                </c:pt>
                <c:pt idx="63">
                  <c:v>9.7579931434309302</c:v>
                </c:pt>
                <c:pt idx="64">
                  <c:v>6.41741855986864</c:v>
                </c:pt>
                <c:pt idx="65">
                  <c:v>3.0146415931568802</c:v>
                </c:pt>
                <c:pt idx="66">
                  <c:v>8.3961157316000392</c:v>
                </c:pt>
                <c:pt idx="67">
                  <c:v>4.1057436504014797</c:v>
                </c:pt>
                <c:pt idx="68">
                  <c:v>4.1285729303441503</c:v>
                </c:pt>
                <c:pt idx="69">
                  <c:v>1.28624213336648</c:v>
                </c:pt>
                <c:pt idx="70">
                  <c:v>5.9384377828666697</c:v>
                </c:pt>
                <c:pt idx="71">
                  <c:v>5.8098115335926996</c:v>
                </c:pt>
                <c:pt idx="72">
                  <c:v>4.2039233584478701</c:v>
                </c:pt>
                <c:pt idx="73">
                  <c:v>9.0479553660633307</c:v>
                </c:pt>
                <c:pt idx="74">
                  <c:v>2.1587355846967902</c:v>
                </c:pt>
                <c:pt idx="75">
                  <c:v>3.9708956197913898</c:v>
                </c:pt>
                <c:pt idx="76">
                  <c:v>3.89424488212026</c:v>
                </c:pt>
                <c:pt idx="77">
                  <c:v>1.83061527605871</c:v>
                </c:pt>
                <c:pt idx="78">
                  <c:v>5.3303085465066298</c:v>
                </c:pt>
                <c:pt idx="79">
                  <c:v>7.1900624538647397</c:v>
                </c:pt>
                <c:pt idx="80">
                  <c:v>5.6049131219253496</c:v>
                </c:pt>
                <c:pt idx="81">
                  <c:v>2.41279914444574</c:v>
                </c:pt>
                <c:pt idx="82">
                  <c:v>4.3955736871786497</c:v>
                </c:pt>
                <c:pt idx="83">
                  <c:v>1.0233552194528099</c:v>
                </c:pt>
                <c:pt idx="84">
                  <c:v>8.8147099633202792</c:v>
                </c:pt>
                <c:pt idx="85">
                  <c:v>1.76065306912613</c:v>
                </c:pt>
                <c:pt idx="86">
                  <c:v>6.3755027402988702</c:v>
                </c:pt>
                <c:pt idx="87">
                  <c:v>9.8763129628013306</c:v>
                </c:pt>
                <c:pt idx="88">
                  <c:v>5.82931581388599</c:v>
                </c:pt>
                <c:pt idx="89">
                  <c:v>9.3163758319668908</c:v>
                </c:pt>
                <c:pt idx="90">
                  <c:v>3.1250487980566302</c:v>
                </c:pt>
                <c:pt idx="91">
                  <c:v>7.8395986804382698</c:v>
                </c:pt>
                <c:pt idx="92">
                  <c:v>5.7813917857617998</c:v>
                </c:pt>
                <c:pt idx="93">
                  <c:v>7.4846445525231804</c:v>
                </c:pt>
                <c:pt idx="94">
                  <c:v>1.5610722626011699</c:v>
                </c:pt>
                <c:pt idx="95">
                  <c:v>2.3296518271560398</c:v>
                </c:pt>
                <c:pt idx="96">
                  <c:v>2.1980523572872999</c:v>
                </c:pt>
                <c:pt idx="97">
                  <c:v>7.1844895486299798</c:v>
                </c:pt>
                <c:pt idx="98">
                  <c:v>8.5999660537026497</c:v>
                </c:pt>
                <c:pt idx="99">
                  <c:v>7.4654608807728602</c:v>
                </c:pt>
              </c:numCache>
            </c:numRef>
          </c:xVal>
          <c:yVal>
            <c:numRef>
              <c:f>'EMPLOYEE RAW'!$F$2:$F$101</c:f>
              <c:numCache>
                <c:formatCode>General</c:formatCode>
                <c:ptCount val="100"/>
                <c:pt idx="0">
                  <c:v>28</c:v>
                </c:pt>
                <c:pt idx="1">
                  <c:v>23</c:v>
                </c:pt>
                <c:pt idx="2">
                  <c:v>42</c:v>
                </c:pt>
                <c:pt idx="3">
                  <c:v>35</c:v>
                </c:pt>
                <c:pt idx="4">
                  <c:v>42</c:v>
                </c:pt>
                <c:pt idx="5">
                  <c:v>27</c:v>
                </c:pt>
                <c:pt idx="6">
                  <c:v>24</c:v>
                </c:pt>
                <c:pt idx="7">
                  <c:v>42</c:v>
                </c:pt>
                <c:pt idx="8">
                  <c:v>36</c:v>
                </c:pt>
                <c:pt idx="9">
                  <c:v>18</c:v>
                </c:pt>
                <c:pt idx="10">
                  <c:v>53</c:v>
                </c:pt>
                <c:pt idx="11">
                  <c:v>26</c:v>
                </c:pt>
                <c:pt idx="12">
                  <c:v>65</c:v>
                </c:pt>
                <c:pt idx="13">
                  <c:v>33</c:v>
                </c:pt>
                <c:pt idx="14">
                  <c:v>44</c:v>
                </c:pt>
                <c:pt idx="15">
                  <c:v>56</c:v>
                </c:pt>
                <c:pt idx="16">
                  <c:v>54</c:v>
                </c:pt>
                <c:pt idx="17">
                  <c:v>59</c:v>
                </c:pt>
                <c:pt idx="18">
                  <c:v>24</c:v>
                </c:pt>
                <c:pt idx="19">
                  <c:v>28</c:v>
                </c:pt>
                <c:pt idx="20">
                  <c:v>42</c:v>
                </c:pt>
                <c:pt idx="21">
                  <c:v>48</c:v>
                </c:pt>
                <c:pt idx="22">
                  <c:v>39</c:v>
                </c:pt>
                <c:pt idx="23">
                  <c:v>23</c:v>
                </c:pt>
                <c:pt idx="24">
                  <c:v>44</c:v>
                </c:pt>
                <c:pt idx="25">
                  <c:v>38</c:v>
                </c:pt>
                <c:pt idx="26">
                  <c:v>37</c:v>
                </c:pt>
                <c:pt idx="27">
                  <c:v>17</c:v>
                </c:pt>
                <c:pt idx="28">
                  <c:v>47</c:v>
                </c:pt>
                <c:pt idx="29">
                  <c:v>41</c:v>
                </c:pt>
                <c:pt idx="30">
                  <c:v>57</c:v>
                </c:pt>
                <c:pt idx="31">
                  <c:v>39</c:v>
                </c:pt>
                <c:pt idx="32">
                  <c:v>45</c:v>
                </c:pt>
                <c:pt idx="33">
                  <c:v>48</c:v>
                </c:pt>
                <c:pt idx="34">
                  <c:v>22</c:v>
                </c:pt>
                <c:pt idx="35">
                  <c:v>66</c:v>
                </c:pt>
                <c:pt idx="36">
                  <c:v>35</c:v>
                </c:pt>
                <c:pt idx="37">
                  <c:v>44</c:v>
                </c:pt>
                <c:pt idx="38">
                  <c:v>46</c:v>
                </c:pt>
                <c:pt idx="39">
                  <c:v>31</c:v>
                </c:pt>
                <c:pt idx="40">
                  <c:v>58</c:v>
                </c:pt>
                <c:pt idx="41">
                  <c:v>42</c:v>
                </c:pt>
                <c:pt idx="42">
                  <c:v>37</c:v>
                </c:pt>
                <c:pt idx="43">
                  <c:v>41</c:v>
                </c:pt>
                <c:pt idx="44">
                  <c:v>47</c:v>
                </c:pt>
                <c:pt idx="45">
                  <c:v>40</c:v>
                </c:pt>
                <c:pt idx="46">
                  <c:v>48</c:v>
                </c:pt>
                <c:pt idx="47">
                  <c:v>23</c:v>
                </c:pt>
                <c:pt idx="48">
                  <c:v>32</c:v>
                </c:pt>
                <c:pt idx="49">
                  <c:v>18</c:v>
                </c:pt>
                <c:pt idx="50">
                  <c:v>59</c:v>
                </c:pt>
                <c:pt idx="51">
                  <c:v>59</c:v>
                </c:pt>
                <c:pt idx="52">
                  <c:v>46</c:v>
                </c:pt>
                <c:pt idx="53">
                  <c:v>29</c:v>
                </c:pt>
                <c:pt idx="54">
                  <c:v>63</c:v>
                </c:pt>
                <c:pt idx="55">
                  <c:v>33</c:v>
                </c:pt>
                <c:pt idx="56">
                  <c:v>37</c:v>
                </c:pt>
                <c:pt idx="57">
                  <c:v>41</c:v>
                </c:pt>
                <c:pt idx="58">
                  <c:v>44</c:v>
                </c:pt>
                <c:pt idx="59">
                  <c:v>46</c:v>
                </c:pt>
                <c:pt idx="60">
                  <c:v>46</c:v>
                </c:pt>
                <c:pt idx="61">
                  <c:v>38</c:v>
                </c:pt>
                <c:pt idx="62">
                  <c:v>46</c:v>
                </c:pt>
                <c:pt idx="63">
                  <c:v>38</c:v>
                </c:pt>
                <c:pt idx="64">
                  <c:v>45</c:v>
                </c:pt>
                <c:pt idx="65">
                  <c:v>44</c:v>
                </c:pt>
                <c:pt idx="66">
                  <c:v>47</c:v>
                </c:pt>
                <c:pt idx="67">
                  <c:v>46</c:v>
                </c:pt>
                <c:pt idx="68">
                  <c:v>35</c:v>
                </c:pt>
                <c:pt idx="69">
                  <c:v>44</c:v>
                </c:pt>
                <c:pt idx="70">
                  <c:v>46</c:v>
                </c:pt>
                <c:pt idx="71">
                  <c:v>27</c:v>
                </c:pt>
                <c:pt idx="72">
                  <c:v>37</c:v>
                </c:pt>
                <c:pt idx="73">
                  <c:v>46</c:v>
                </c:pt>
                <c:pt idx="74">
                  <c:v>57</c:v>
                </c:pt>
                <c:pt idx="75">
                  <c:v>48</c:v>
                </c:pt>
                <c:pt idx="76">
                  <c:v>57</c:v>
                </c:pt>
                <c:pt idx="77">
                  <c:v>36</c:v>
                </c:pt>
                <c:pt idx="78">
                  <c:v>42</c:v>
                </c:pt>
                <c:pt idx="79">
                  <c:v>48</c:v>
                </c:pt>
                <c:pt idx="80">
                  <c:v>16</c:v>
                </c:pt>
                <c:pt idx="81">
                  <c:v>55</c:v>
                </c:pt>
                <c:pt idx="82">
                  <c:v>21</c:v>
                </c:pt>
                <c:pt idx="83">
                  <c:v>49</c:v>
                </c:pt>
                <c:pt idx="84">
                  <c:v>46</c:v>
                </c:pt>
                <c:pt idx="85">
                  <c:v>16</c:v>
                </c:pt>
                <c:pt idx="86">
                  <c:v>17</c:v>
                </c:pt>
                <c:pt idx="87">
                  <c:v>54</c:v>
                </c:pt>
                <c:pt idx="88">
                  <c:v>52</c:v>
                </c:pt>
                <c:pt idx="89">
                  <c:v>31</c:v>
                </c:pt>
                <c:pt idx="90">
                  <c:v>31</c:v>
                </c:pt>
                <c:pt idx="91">
                  <c:v>45</c:v>
                </c:pt>
                <c:pt idx="92">
                  <c:v>39</c:v>
                </c:pt>
                <c:pt idx="93">
                  <c:v>50</c:v>
                </c:pt>
                <c:pt idx="94">
                  <c:v>44</c:v>
                </c:pt>
                <c:pt idx="95">
                  <c:v>55</c:v>
                </c:pt>
                <c:pt idx="96">
                  <c:v>49</c:v>
                </c:pt>
                <c:pt idx="97">
                  <c:v>47</c:v>
                </c:pt>
                <c:pt idx="98">
                  <c:v>36</c:v>
                </c:pt>
                <c:pt idx="99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4-4764-98E2-4AD977879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29663"/>
        <c:axId val="174929183"/>
      </c:scatterChart>
      <c:valAx>
        <c:axId val="17492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9183"/>
        <c:crosses val="autoZero"/>
        <c:crossBetween val="midCat"/>
      </c:valAx>
      <c:valAx>
        <c:axId val="17492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Employee Salary Distribution</a:t>
            </a:r>
            <a:endPara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endParaRPr>
          </a:p>
        </cx:rich>
      </cx:tx>
    </cx:title>
    <cx:plotArea>
      <cx:plotAreaRegion>
        <cx:series layoutId="clusteredColumn" uniqueId="{8D3C3F8B-6003-4938-98E7-4ED9468706F1}">
          <cx:dataId val="0"/>
          <cx:layoutPr>
            <cx:binning intervalClosed="r">
              <cx:binSize val="5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87630</xdr:rowOff>
    </xdr:from>
    <xdr:to>
      <xdr:col>10</xdr:col>
      <xdr:colOff>594360</xdr:colOff>
      <xdr:row>22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B176E7-E1D9-39F1-18C5-9C687A7A49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422910"/>
              <a:ext cx="6614160" cy="3348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99060</xdr:colOff>
      <xdr:row>27</xdr:row>
      <xdr:rowOff>0</xdr:rowOff>
    </xdr:from>
    <xdr:to>
      <xdr:col>7</xdr:col>
      <xdr:colOff>403860</xdr:colOff>
      <xdr:row>43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D5B194-96F7-44D4-9FFC-9B915AB6C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niewicz, Grzegorz (AES)" refreshedDate="45995.637203124999" createdVersion="8" refreshedVersion="8" minRefreshableVersion="3" recordCount="112" xr:uid="{7697AC57-5F1F-4A59-936E-D880E33AC085}">
  <cacheSource type="worksheet">
    <worksheetSource ref="A1:I1048576" sheet="EMPLOYEE RAW"/>
  </cacheSource>
  <cacheFields count="9">
    <cacheField name="Age" numFmtId="0">
      <sharedItems containsString="0" containsBlank="1" containsNumber="1" containsInteger="1" minValue="18" maxValue="64"/>
    </cacheField>
    <cacheField name="Salary" numFmtId="0">
      <sharedItems containsString="0" containsBlank="1" containsNumber="1" containsInteger="1" minValue="20901" maxValue="94154"/>
    </cacheField>
    <cacheField name="Experience_Years" numFmtId="0">
      <sharedItems containsString="0" containsBlank="1" containsNumber="1" containsInteger="1" minValue="4" maxValue="20"/>
    </cacheField>
    <cacheField name="Education_Years" numFmtId="0">
      <sharedItems containsString="0" containsBlank="1" containsNumber="1" containsInteger="1" minValue="10" maxValue="19"/>
    </cacheField>
    <cacheField name="Satisfaction_Score" numFmtId="0">
      <sharedItems containsString="0" containsBlank="1" containsNumber="1" minValue="1.0233552194528099" maxValue="9.9424150562945606"/>
    </cacheField>
    <cacheField name="Hours_Worked_Per_Week" numFmtId="0">
      <sharedItems containsString="0" containsBlank="1" containsNumber="1" containsInteger="1" minValue="16" maxValue="66"/>
    </cacheField>
    <cacheField name="Annual_Leave_Days" numFmtId="0">
      <sharedItems containsString="0" containsBlank="1" containsNumber="1" containsInteger="1" minValue="10" maxValue="29"/>
    </cacheField>
    <cacheField name="Performance_Level" numFmtId="0">
      <sharedItems containsBlank="1"/>
    </cacheField>
    <cacheField name="Department" numFmtId="0">
      <sharedItems containsBlank="1" count="6">
        <s v="Marketing"/>
        <s v="Operations"/>
        <s v="HR"/>
        <s v="Finance"/>
        <s v="I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56"/>
    <n v="59544"/>
    <n v="10"/>
    <n v="16"/>
    <n v="6.2663457909292397"/>
    <n v="28"/>
    <n v="11"/>
    <s v="Medium"/>
    <x v="0"/>
  </r>
  <r>
    <n v="46"/>
    <n v="36399"/>
    <n v="10"/>
    <n v="19"/>
    <n v="7.5350875966466297"/>
    <n v="23"/>
    <n v="19"/>
    <s v="Medium"/>
    <x v="0"/>
  </r>
  <r>
    <n v="32"/>
    <n v="57140"/>
    <n v="7"/>
    <n v="19"/>
    <n v="7.8137308183821004"/>
    <n v="42"/>
    <n v="14"/>
    <s v="High"/>
    <x v="1"/>
  </r>
  <r>
    <n v="60"/>
    <n v="69554"/>
    <n v="14"/>
    <n v="12"/>
    <n v="4.4006549434820696"/>
    <n v="35"/>
    <n v="19"/>
    <s v="Low"/>
    <x v="1"/>
  </r>
  <r>
    <n v="25"/>
    <n v="53173"/>
    <n v="16"/>
    <n v="16"/>
    <n v="3.1697634909666799"/>
    <n v="42"/>
    <n v="10"/>
    <s v="Low"/>
    <x v="2"/>
  </r>
  <r>
    <n v="38"/>
    <n v="58955"/>
    <n v="12"/>
    <n v="12"/>
    <n v="2.84540795655872"/>
    <n v="27"/>
    <n v="15"/>
    <s v="High"/>
    <x v="3"/>
  </r>
  <r>
    <n v="56"/>
    <n v="36554"/>
    <n v="9"/>
    <n v="11"/>
    <n v="3.2629819556061799"/>
    <n v="24"/>
    <n v="22"/>
    <s v="Low"/>
    <x v="1"/>
  </r>
  <r>
    <n v="36"/>
    <n v="48320"/>
    <n v="20"/>
    <n v="19"/>
    <n v="3.4725861732331702"/>
    <n v="42"/>
    <n v="24"/>
    <s v="Low"/>
    <x v="0"/>
  </r>
  <r>
    <n v="40"/>
    <n v="72034"/>
    <n v="8"/>
    <n v="13"/>
    <n v="2.8650488410724999"/>
    <n v="36"/>
    <n v="13"/>
    <s v="Medium"/>
    <x v="4"/>
  </r>
  <r>
    <n v="28"/>
    <n v="33141"/>
    <n v="6"/>
    <n v="17"/>
    <n v="8.9039860073127297"/>
    <n v="18"/>
    <n v="22"/>
    <s v="High"/>
    <x v="0"/>
  </r>
  <r>
    <n v="28"/>
    <n v="64250"/>
    <n v="10"/>
    <n v="18"/>
    <n v="7.8129921895500498"/>
    <n v="53"/>
    <n v="29"/>
    <s v="High"/>
    <x v="3"/>
  </r>
  <r>
    <n v="41"/>
    <n v="75897"/>
    <n v="9"/>
    <n v="16"/>
    <n v="1.4220682101209701"/>
    <n v="26"/>
    <n v="24"/>
    <s v="High"/>
    <x v="0"/>
  </r>
  <r>
    <n v="53"/>
    <n v="56868"/>
    <n v="12"/>
    <n v="10"/>
    <n v="3.4180523382277599"/>
    <n v="65"/>
    <n v="17"/>
    <s v="High"/>
    <x v="2"/>
  </r>
  <r>
    <n v="57"/>
    <n v="24735"/>
    <n v="10"/>
    <n v="12"/>
    <n v="1.19966267827271"/>
    <n v="33"/>
    <n v="14"/>
    <s v="Medium"/>
    <x v="3"/>
  </r>
  <r>
    <n v="41"/>
    <n v="54902"/>
    <n v="11"/>
    <n v="18"/>
    <n v="5.48348667981303"/>
    <n v="44"/>
    <n v="24"/>
    <s v="Medium"/>
    <x v="4"/>
  </r>
  <r>
    <n v="20"/>
    <n v="48783"/>
    <n v="9"/>
    <n v="10"/>
    <n v="5.2858962711011204"/>
    <n v="56"/>
    <n v="13"/>
    <s v="Low"/>
    <x v="2"/>
  </r>
  <r>
    <n v="39"/>
    <n v="57016"/>
    <n v="11"/>
    <n v="18"/>
    <n v="8.4823434105625104"/>
    <n v="54"/>
    <n v="21"/>
    <s v="Low"/>
    <x v="3"/>
  </r>
  <r>
    <n v="19"/>
    <n v="61041"/>
    <n v="14"/>
    <n v="17"/>
    <n v="3.76999515793944"/>
    <n v="59"/>
    <n v="22"/>
    <s v="Low"/>
    <x v="4"/>
  </r>
  <r>
    <n v="41"/>
    <n v="38304"/>
    <n v="10"/>
    <n v="10"/>
    <n v="8.3474716169175593"/>
    <n v="24"/>
    <n v="11"/>
    <s v="Low"/>
    <x v="2"/>
  </r>
  <r>
    <n v="61"/>
    <n v="37341"/>
    <n v="13"/>
    <n v="15"/>
    <n v="9.7117638889583997"/>
    <n v="28"/>
    <n v="28"/>
    <s v="Medium"/>
    <x v="2"/>
  </r>
  <r>
    <n v="47"/>
    <n v="47741"/>
    <n v="8"/>
    <n v="14"/>
    <n v="1.79567401029081"/>
    <n v="42"/>
    <n v="28"/>
    <s v="High"/>
    <x v="3"/>
  </r>
  <r>
    <n v="55"/>
    <n v="35516"/>
    <n v="8"/>
    <n v="15"/>
    <n v="8.1263605552266895"/>
    <n v="48"/>
    <n v="13"/>
    <s v="Medium"/>
    <x v="1"/>
  </r>
  <r>
    <n v="19"/>
    <n v="52257"/>
    <n v="4"/>
    <n v="19"/>
    <n v="6.3096030742387201"/>
    <n v="39"/>
    <n v="13"/>
    <s v="Low"/>
    <x v="2"/>
  </r>
  <r>
    <n v="38"/>
    <n v="48298"/>
    <n v="7"/>
    <n v="14"/>
    <n v="5.3204137031662704"/>
    <n v="23"/>
    <n v="20"/>
    <s v="Medium"/>
    <x v="2"/>
  </r>
  <r>
    <n v="50"/>
    <n v="89502"/>
    <n v="10"/>
    <n v="15"/>
    <n v="4.78482200798567"/>
    <n v="44"/>
    <n v="14"/>
    <s v="High"/>
    <x v="4"/>
  </r>
  <r>
    <n v="29"/>
    <n v="34623"/>
    <n v="9"/>
    <n v="14"/>
    <n v="8.0620143754987801"/>
    <n v="38"/>
    <n v="29"/>
    <s v="High"/>
    <x v="0"/>
  </r>
  <r>
    <n v="39"/>
    <n v="38269"/>
    <n v="16"/>
    <n v="14"/>
    <n v="6.7542522127681801"/>
    <n v="37"/>
    <n v="20"/>
    <s v="Medium"/>
    <x v="3"/>
  </r>
  <r>
    <n v="61"/>
    <n v="56359"/>
    <n v="7"/>
    <n v="13"/>
    <n v="8.2454020076742491"/>
    <n v="17"/>
    <n v="19"/>
    <s v="Medium"/>
    <x v="3"/>
  </r>
  <r>
    <n v="42"/>
    <n v="63090"/>
    <n v="9"/>
    <n v="12"/>
    <n v="9.2835952808963604"/>
    <n v="47"/>
    <n v="17"/>
    <s v="Medium"/>
    <x v="1"/>
  </r>
  <r>
    <n v="44"/>
    <n v="84308"/>
    <n v="8"/>
    <n v="12"/>
    <n v="6.5553734088756199"/>
    <n v="41"/>
    <n v="15"/>
    <s v="Low"/>
    <x v="1"/>
  </r>
  <r>
    <n v="59"/>
    <n v="74343"/>
    <n v="14"/>
    <n v="13"/>
    <n v="9.8241645258313994"/>
    <n v="57"/>
    <n v="15"/>
    <s v="Medium"/>
    <x v="3"/>
  </r>
  <r>
    <n v="45"/>
    <n v="62355"/>
    <n v="12"/>
    <n v="18"/>
    <n v="6.4727906458769597"/>
    <n v="39"/>
    <n v="17"/>
    <s v="Medium"/>
    <x v="1"/>
  </r>
  <r>
    <n v="33"/>
    <n v="54395"/>
    <n v="8"/>
    <n v="11"/>
    <n v="6.72979889460054"/>
    <n v="45"/>
    <n v="24"/>
    <s v="Medium"/>
    <x v="4"/>
  </r>
  <r>
    <n v="32"/>
    <n v="63449"/>
    <n v="7"/>
    <n v="18"/>
    <n v="5.9933404768800296"/>
    <n v="48"/>
    <n v="23"/>
    <s v="High"/>
    <x v="3"/>
  </r>
  <r>
    <n v="64"/>
    <n v="40845"/>
    <n v="5"/>
    <n v="10"/>
    <n v="1.8190188194619701"/>
    <n v="22"/>
    <n v="20"/>
    <s v="High"/>
    <x v="1"/>
  </r>
  <r>
    <n v="61"/>
    <n v="45257"/>
    <n v="11"/>
    <n v="10"/>
    <n v="7.5375732938520503"/>
    <n v="66"/>
    <n v="21"/>
    <s v="Low"/>
    <x v="3"/>
  </r>
  <r>
    <n v="20"/>
    <n v="27763"/>
    <n v="4"/>
    <n v="14"/>
    <n v="5.9270167620920002"/>
    <n v="35"/>
    <n v="22"/>
    <s v="Low"/>
    <x v="0"/>
  </r>
  <r>
    <n v="54"/>
    <n v="46567"/>
    <n v="9"/>
    <n v="15"/>
    <n v="5.0581940267449399"/>
    <n v="44"/>
    <n v="17"/>
    <s v="High"/>
    <x v="2"/>
  </r>
  <r>
    <n v="24"/>
    <n v="64439"/>
    <n v="8"/>
    <n v="15"/>
    <n v="9.9424150562945606"/>
    <n v="46"/>
    <n v="27"/>
    <s v="High"/>
    <x v="3"/>
  </r>
  <r>
    <n v="38"/>
    <n v="46854"/>
    <n v="14"/>
    <n v="12"/>
    <n v="3.6816350638775499"/>
    <n v="31"/>
    <n v="10"/>
    <s v="High"/>
    <x v="2"/>
  </r>
  <r>
    <n v="26"/>
    <n v="38389"/>
    <n v="10"/>
    <n v="16"/>
    <n v="5.7124204841350998"/>
    <n v="58"/>
    <n v="24"/>
    <s v="Medium"/>
    <x v="1"/>
  </r>
  <r>
    <n v="56"/>
    <n v="44603"/>
    <n v="13"/>
    <n v="18"/>
    <n v="7.2787768434411699"/>
    <n v="42"/>
    <n v="17"/>
    <s v="Medium"/>
    <x v="2"/>
  </r>
  <r>
    <n v="35"/>
    <n v="60861"/>
    <n v="18"/>
    <n v="19"/>
    <n v="8.1682459810648904"/>
    <n v="37"/>
    <n v="20"/>
    <s v="High"/>
    <x v="3"/>
  </r>
  <r>
    <n v="21"/>
    <n v="46163"/>
    <n v="14"/>
    <n v="17"/>
    <n v="5.13412127151555"/>
    <n v="41"/>
    <n v="21"/>
    <s v="Medium"/>
    <x v="0"/>
  </r>
  <r>
    <n v="42"/>
    <n v="62748"/>
    <n v="9"/>
    <n v="15"/>
    <n v="8.5788227351683801"/>
    <n v="47"/>
    <n v="21"/>
    <s v="Medium"/>
    <x v="1"/>
  </r>
  <r>
    <n v="31"/>
    <n v="30330"/>
    <n v="6"/>
    <n v="17"/>
    <n v="7.9202596718385703"/>
    <n v="40"/>
    <n v="13"/>
    <s v="Low"/>
    <x v="3"/>
  </r>
  <r>
    <n v="26"/>
    <n v="36945"/>
    <n v="9"/>
    <n v="14"/>
    <n v="1.5961238006667899"/>
    <n v="48"/>
    <n v="25"/>
    <s v="High"/>
    <x v="1"/>
  </r>
  <r>
    <n v="43"/>
    <n v="42400"/>
    <n v="7"/>
    <n v="17"/>
    <n v="1.4127513976416901"/>
    <n v="23"/>
    <n v="13"/>
    <s v="High"/>
    <x v="4"/>
  </r>
  <r>
    <n v="19"/>
    <n v="30350"/>
    <n v="4"/>
    <n v="19"/>
    <n v="6.5872511597988197"/>
    <n v="32"/>
    <n v="14"/>
    <s v="Medium"/>
    <x v="2"/>
  </r>
  <r>
    <n v="37"/>
    <n v="94154"/>
    <n v="12"/>
    <n v="13"/>
    <n v="4.1267206740287197"/>
    <n v="18"/>
    <n v="14"/>
    <s v="High"/>
    <x v="4"/>
  </r>
  <r>
    <n v="45"/>
    <n v="33556"/>
    <n v="15"/>
    <n v="19"/>
    <n v="2.8821771197066202"/>
    <n v="59"/>
    <n v="17"/>
    <s v="Low"/>
    <x v="3"/>
  </r>
  <r>
    <n v="64"/>
    <n v="63723"/>
    <n v="7"/>
    <n v="17"/>
    <n v="6.21684941024564"/>
    <n v="59"/>
    <n v="19"/>
    <s v="Low"/>
    <x v="0"/>
  </r>
  <r>
    <n v="24"/>
    <n v="40009"/>
    <n v="7"/>
    <n v="19"/>
    <n v="4.0740688941089003"/>
    <n v="46"/>
    <n v="26"/>
    <s v="Low"/>
    <x v="1"/>
  </r>
  <r>
    <n v="61"/>
    <n v="42293"/>
    <n v="11"/>
    <n v="11"/>
    <n v="5.8353707504266303"/>
    <n v="29"/>
    <n v="18"/>
    <s v="High"/>
    <x v="2"/>
  </r>
  <r>
    <n v="25"/>
    <n v="54519"/>
    <n v="11"/>
    <n v="14"/>
    <n v="5.1410724308521401"/>
    <n v="63"/>
    <n v="28"/>
    <s v="High"/>
    <x v="1"/>
  </r>
  <r>
    <n v="64"/>
    <n v="28122"/>
    <n v="12"/>
    <n v="18"/>
    <n v="6.2628949535423803"/>
    <n v="33"/>
    <n v="23"/>
    <s v="High"/>
    <x v="3"/>
  </r>
  <r>
    <n v="52"/>
    <n v="40058"/>
    <n v="11"/>
    <n v="13"/>
    <n v="4.6027044001925299"/>
    <n v="37"/>
    <n v="17"/>
    <s v="High"/>
    <x v="1"/>
  </r>
  <r>
    <n v="31"/>
    <n v="47802"/>
    <n v="6"/>
    <n v="15"/>
    <n v="7.2790081632723798"/>
    <n v="41"/>
    <n v="18"/>
    <s v="High"/>
    <x v="2"/>
  </r>
  <r>
    <n v="34"/>
    <n v="37309"/>
    <n v="5"/>
    <n v="10"/>
    <n v="2.62060545114368"/>
    <n v="44"/>
    <n v="20"/>
    <s v="Low"/>
    <x v="3"/>
  </r>
  <r>
    <n v="53"/>
    <n v="37662"/>
    <n v="6"/>
    <n v="18"/>
    <n v="7.2685131960437097"/>
    <n v="46"/>
    <n v="10"/>
    <s v="Medium"/>
    <x v="1"/>
  </r>
  <r>
    <n v="57"/>
    <n v="66300"/>
    <n v="8"/>
    <n v="10"/>
    <n v="4.70495092921775"/>
    <n v="46"/>
    <n v="23"/>
    <s v="Low"/>
    <x v="0"/>
  </r>
  <r>
    <n v="21"/>
    <n v="65074"/>
    <n v="11"/>
    <n v="14"/>
    <n v="8.8688584436897493"/>
    <n v="38"/>
    <n v="14"/>
    <s v="High"/>
    <x v="3"/>
  </r>
  <r>
    <n v="19"/>
    <n v="43373"/>
    <n v="7"/>
    <n v="13"/>
    <n v="5.6371244937778897"/>
    <n v="46"/>
    <n v="23"/>
    <s v="Low"/>
    <x v="3"/>
  </r>
  <r>
    <n v="23"/>
    <n v="48737"/>
    <n v="16"/>
    <n v="12"/>
    <n v="9.7579931434309302"/>
    <n v="38"/>
    <n v="13"/>
    <s v="High"/>
    <x v="0"/>
  </r>
  <r>
    <n v="59"/>
    <n v="68555"/>
    <n v="10"/>
    <n v="15"/>
    <n v="6.41741855986864"/>
    <n v="45"/>
    <n v="10"/>
    <s v="High"/>
    <x v="4"/>
  </r>
  <r>
    <n v="21"/>
    <n v="28602"/>
    <n v="16"/>
    <n v="11"/>
    <n v="3.0146415931568802"/>
    <n v="44"/>
    <n v="28"/>
    <s v="Low"/>
    <x v="2"/>
  </r>
  <r>
    <n v="46"/>
    <n v="55070"/>
    <n v="11"/>
    <n v="12"/>
    <n v="8.3961157316000392"/>
    <n v="47"/>
    <n v="17"/>
    <s v="High"/>
    <x v="4"/>
  </r>
  <r>
    <n v="35"/>
    <n v="79618"/>
    <n v="12"/>
    <n v="14"/>
    <n v="4.1057436504014797"/>
    <n v="46"/>
    <n v="24"/>
    <s v="Medium"/>
    <x v="1"/>
  </r>
  <r>
    <n v="43"/>
    <n v="79475"/>
    <n v="6"/>
    <n v="18"/>
    <n v="4.1285729303441503"/>
    <n v="35"/>
    <n v="24"/>
    <s v="High"/>
    <x v="0"/>
  </r>
  <r>
    <n v="61"/>
    <n v="20901"/>
    <n v="13"/>
    <n v="11"/>
    <n v="1.28624213336648"/>
    <n v="44"/>
    <n v="18"/>
    <s v="Medium"/>
    <x v="4"/>
  </r>
  <r>
    <n v="51"/>
    <n v="38560"/>
    <n v="13"/>
    <n v="19"/>
    <n v="5.9384377828666697"/>
    <n v="46"/>
    <n v="18"/>
    <s v="Medium"/>
    <x v="3"/>
  </r>
  <r>
    <n v="27"/>
    <n v="52529"/>
    <n v="7"/>
    <n v="17"/>
    <n v="5.8098115335926996"/>
    <n v="27"/>
    <n v="19"/>
    <s v="High"/>
    <x v="1"/>
  </r>
  <r>
    <n v="53"/>
    <n v="30171"/>
    <n v="7"/>
    <n v="11"/>
    <n v="4.2039233584478701"/>
    <n v="37"/>
    <n v="29"/>
    <s v="Low"/>
    <x v="1"/>
  </r>
  <r>
    <n v="31"/>
    <n v="39976"/>
    <n v="8"/>
    <n v="14"/>
    <n v="9.0479553660633307"/>
    <n v="46"/>
    <n v="18"/>
    <s v="Medium"/>
    <x v="4"/>
  </r>
  <r>
    <n v="48"/>
    <n v="47940"/>
    <n v="9"/>
    <n v="16"/>
    <n v="2.1587355846967902"/>
    <n v="57"/>
    <n v="12"/>
    <s v="Low"/>
    <x v="4"/>
  </r>
  <r>
    <n v="32"/>
    <n v="71019"/>
    <n v="8"/>
    <n v="17"/>
    <n v="3.9708956197913898"/>
    <n v="48"/>
    <n v="29"/>
    <s v="Medium"/>
    <x v="0"/>
  </r>
  <r>
    <n v="25"/>
    <n v="49318"/>
    <n v="10"/>
    <n v="10"/>
    <n v="3.89424488212026"/>
    <n v="57"/>
    <n v="20"/>
    <s v="High"/>
    <x v="2"/>
  </r>
  <r>
    <n v="31"/>
    <n v="53254"/>
    <n v="9"/>
    <n v="15"/>
    <n v="1.83061527605871"/>
    <n v="36"/>
    <n v="15"/>
    <s v="High"/>
    <x v="4"/>
  </r>
  <r>
    <n v="40"/>
    <n v="57686"/>
    <n v="11"/>
    <n v="10"/>
    <n v="5.3303085465066298"/>
    <n v="42"/>
    <n v="11"/>
    <s v="Medium"/>
    <x v="4"/>
  </r>
  <r>
    <n v="57"/>
    <n v="58152"/>
    <n v="6"/>
    <n v="11"/>
    <n v="7.1900624538647397"/>
    <n v="48"/>
    <n v="16"/>
    <s v="High"/>
    <x v="3"/>
  </r>
  <r>
    <n v="38"/>
    <n v="50421"/>
    <n v="11"/>
    <n v="10"/>
    <n v="5.6049131219253496"/>
    <n v="16"/>
    <n v="27"/>
    <s v="Medium"/>
    <x v="1"/>
  </r>
  <r>
    <n v="33"/>
    <n v="32043"/>
    <n v="12"/>
    <n v="14"/>
    <n v="2.41279914444574"/>
    <n v="55"/>
    <n v="11"/>
    <s v="High"/>
    <x v="2"/>
  </r>
  <r>
    <n v="62"/>
    <n v="61845"/>
    <n v="7"/>
    <n v="19"/>
    <n v="4.3955736871786497"/>
    <n v="21"/>
    <n v="26"/>
    <s v="Low"/>
    <x v="3"/>
  </r>
  <r>
    <n v="35"/>
    <n v="56472"/>
    <n v="10"/>
    <n v="18"/>
    <n v="1.0233552194528099"/>
    <n v="49"/>
    <n v="20"/>
    <s v="High"/>
    <x v="0"/>
  </r>
  <r>
    <n v="64"/>
    <n v="33548"/>
    <n v="9"/>
    <n v="15"/>
    <n v="8.8147099633202792"/>
    <n v="46"/>
    <n v="21"/>
    <s v="Low"/>
    <x v="0"/>
  </r>
  <r>
    <n v="41"/>
    <n v="39765"/>
    <n v="5"/>
    <n v="10"/>
    <n v="1.76065306912613"/>
    <n v="16"/>
    <n v="28"/>
    <s v="High"/>
    <x v="4"/>
  </r>
  <r>
    <n v="43"/>
    <n v="63312"/>
    <n v="9"/>
    <n v="10"/>
    <n v="6.3755027402988702"/>
    <n v="17"/>
    <n v="16"/>
    <s v="Low"/>
    <x v="4"/>
  </r>
  <r>
    <n v="42"/>
    <n v="59082"/>
    <n v="12"/>
    <n v="11"/>
    <n v="9.8763129628013306"/>
    <n v="54"/>
    <n v="29"/>
    <s v="High"/>
    <x v="0"/>
  </r>
  <r>
    <n v="62"/>
    <n v="39195"/>
    <n v="10"/>
    <n v="18"/>
    <n v="5.82931581388599"/>
    <n v="52"/>
    <n v="15"/>
    <s v="Low"/>
    <x v="4"/>
  </r>
  <r>
    <n v="58"/>
    <n v="45950"/>
    <n v="5"/>
    <n v="12"/>
    <n v="9.3163758319668908"/>
    <n v="31"/>
    <n v="10"/>
    <s v="Medium"/>
    <x v="2"/>
  </r>
  <r>
    <n v="46"/>
    <n v="47848"/>
    <n v="10"/>
    <n v="10"/>
    <n v="3.1250487980566302"/>
    <n v="31"/>
    <n v="26"/>
    <s v="Medium"/>
    <x v="4"/>
  </r>
  <r>
    <n v="32"/>
    <n v="59255"/>
    <n v="10"/>
    <n v="14"/>
    <n v="7.8395986804382698"/>
    <n v="45"/>
    <n v="20"/>
    <s v="Low"/>
    <x v="1"/>
  </r>
  <r>
    <n v="62"/>
    <n v="68734"/>
    <n v="14"/>
    <n v="16"/>
    <n v="5.7813917857617998"/>
    <n v="39"/>
    <n v="27"/>
    <s v="High"/>
    <x v="4"/>
  </r>
  <r>
    <n v="18"/>
    <n v="50984"/>
    <n v="7"/>
    <n v="15"/>
    <n v="7.4846445525231804"/>
    <n v="50"/>
    <n v="26"/>
    <s v="Low"/>
    <x v="3"/>
  </r>
  <r>
    <n v="42"/>
    <n v="67538"/>
    <n v="15"/>
    <n v="10"/>
    <n v="1.5610722626011699"/>
    <n v="44"/>
    <n v="16"/>
    <s v="High"/>
    <x v="2"/>
  </r>
  <r>
    <n v="24"/>
    <n v="63099"/>
    <n v="10"/>
    <n v="14"/>
    <n v="2.3296518271560398"/>
    <n v="55"/>
    <n v="26"/>
    <s v="Medium"/>
    <x v="3"/>
  </r>
  <r>
    <n v="26"/>
    <n v="53084"/>
    <n v="14"/>
    <n v="14"/>
    <n v="2.1980523572872999"/>
    <n v="49"/>
    <n v="29"/>
    <s v="High"/>
    <x v="3"/>
  </r>
  <r>
    <n v="41"/>
    <n v="28347"/>
    <n v="15"/>
    <n v="15"/>
    <n v="7.1844895486299798"/>
    <n v="47"/>
    <n v="18"/>
    <s v="Medium"/>
    <x v="1"/>
  </r>
  <r>
    <n v="18"/>
    <n v="34584"/>
    <n v="8"/>
    <n v="12"/>
    <n v="8.5999660537026497"/>
    <n v="36"/>
    <n v="26"/>
    <s v="High"/>
    <x v="2"/>
  </r>
  <r>
    <n v="61"/>
    <n v="61118"/>
    <n v="10"/>
    <n v="14"/>
    <n v="7.4654608807728602"/>
    <n v="35"/>
    <n v="29"/>
    <s v="High"/>
    <x v="2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  <r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31FAC-F7D4-40FD-B7F7-DE11A63F69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4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3"/>
        <item x="2"/>
        <item x="4"/>
        <item x="0"/>
        <item x="1"/>
        <item h="1"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8" subtotal="count" baseField="0" baseItem="0"/>
  </dataFields>
  <formats count="10"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collapsedLevelsAreSubtotals="1" fieldPosition="0">
        <references count="1">
          <reference field="8" count="1">
            <x v="0"/>
          </reference>
        </references>
      </pivotArea>
    </format>
    <format dxfId="5">
      <pivotArea collapsedLevelsAreSubtotals="1" fieldPosition="0">
        <references count="1">
          <reference field="8" count="1">
            <x v="0"/>
          </reference>
        </references>
      </pivotArea>
    </format>
    <format dxfId="4">
      <pivotArea collapsedLevelsAreSubtotals="1" fieldPosition="0">
        <references count="1">
          <reference field="8" count="1">
            <x v="0"/>
          </reference>
        </references>
      </pivotArea>
    </format>
    <format dxfId="3">
      <pivotArea collapsedLevelsAreSubtotals="1" fieldPosition="0">
        <references count="1">
          <reference field="8" count="1">
            <x v="0"/>
          </reference>
        </references>
      </pivotArea>
    </format>
    <format dxfId="2">
      <pivotArea collapsedLevelsAreSubtotals="1" fieldPosition="0">
        <references count="1">
          <reference field="8" count="1">
            <x v="0"/>
          </reference>
        </references>
      </pivotArea>
    </format>
    <format dxfId="1">
      <pivotArea collapsedLevelsAreSubtotals="1" fieldPosition="0">
        <references count="1">
          <reference field="8" count="1">
            <x v="0"/>
          </reference>
        </references>
      </pivotArea>
    </format>
    <format dxfId="0">
      <pivotArea collapsedLevelsAreSubtotals="1" fieldPosition="0">
        <references count="1">
          <reference field="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  <outlinePr summaryBelow="0" summaryRight="0"/>
  </sheetPr>
  <dimension ref="A1:I1000"/>
  <sheetViews>
    <sheetView tabSelected="1" workbookViewId="0">
      <selection activeCell="L14" sqref="L14"/>
    </sheetView>
  </sheetViews>
  <sheetFormatPr defaultColWidth="12.6640625" defaultRowHeight="15" customHeight="1" x14ac:dyDescent="0.25"/>
  <cols>
    <col min="1" max="6" width="12.66406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>
        <v>56</v>
      </c>
      <c r="B2" s="1">
        <v>59544</v>
      </c>
      <c r="C2" s="1">
        <v>10</v>
      </c>
      <c r="D2" s="1">
        <v>16</v>
      </c>
      <c r="E2" s="2">
        <v>6.2663457909292397</v>
      </c>
      <c r="F2" s="1">
        <v>28</v>
      </c>
      <c r="G2" s="1">
        <v>11</v>
      </c>
      <c r="H2" s="1" t="s">
        <v>9</v>
      </c>
      <c r="I2" s="1" t="s">
        <v>10</v>
      </c>
    </row>
    <row r="3" spans="1:9" ht="15.75" customHeight="1" x14ac:dyDescent="0.25">
      <c r="A3" s="1">
        <v>46</v>
      </c>
      <c r="B3" s="1">
        <v>36399</v>
      </c>
      <c r="C3" s="1">
        <v>10</v>
      </c>
      <c r="D3" s="1">
        <v>19</v>
      </c>
      <c r="E3" s="2">
        <v>7.5350875966466297</v>
      </c>
      <c r="F3" s="1">
        <v>23</v>
      </c>
      <c r="G3" s="1">
        <v>19</v>
      </c>
      <c r="H3" s="1" t="s">
        <v>9</v>
      </c>
      <c r="I3" s="1" t="s">
        <v>10</v>
      </c>
    </row>
    <row r="4" spans="1:9" ht="15.75" customHeight="1" x14ac:dyDescent="0.25">
      <c r="A4" s="1">
        <v>32</v>
      </c>
      <c r="B4" s="1">
        <v>57140</v>
      </c>
      <c r="C4" s="1">
        <v>7</v>
      </c>
      <c r="D4" s="1">
        <v>19</v>
      </c>
      <c r="E4" s="2">
        <v>7.8137308183821004</v>
      </c>
      <c r="F4" s="1">
        <v>42</v>
      </c>
      <c r="G4" s="1">
        <v>14</v>
      </c>
      <c r="H4" s="1" t="s">
        <v>11</v>
      </c>
      <c r="I4" s="1" t="s">
        <v>12</v>
      </c>
    </row>
    <row r="5" spans="1:9" ht="15.75" customHeight="1" x14ac:dyDescent="0.25">
      <c r="A5" s="1">
        <v>60</v>
      </c>
      <c r="B5" s="1">
        <v>69554</v>
      </c>
      <c r="C5" s="1">
        <v>14</v>
      </c>
      <c r="D5" s="1">
        <v>12</v>
      </c>
      <c r="E5" s="2">
        <v>4.4006549434820696</v>
      </c>
      <c r="F5" s="1">
        <v>35</v>
      </c>
      <c r="G5" s="1">
        <v>19</v>
      </c>
      <c r="H5" s="1" t="s">
        <v>13</v>
      </c>
      <c r="I5" s="1" t="s">
        <v>12</v>
      </c>
    </row>
    <row r="6" spans="1:9" ht="15.75" customHeight="1" x14ac:dyDescent="0.25">
      <c r="A6" s="1">
        <v>25</v>
      </c>
      <c r="B6" s="1">
        <v>53173</v>
      </c>
      <c r="C6" s="1">
        <v>16</v>
      </c>
      <c r="D6" s="1">
        <v>16</v>
      </c>
      <c r="E6" s="2">
        <v>3.1697634909666799</v>
      </c>
      <c r="F6" s="1">
        <v>42</v>
      </c>
      <c r="G6" s="1">
        <v>10</v>
      </c>
      <c r="H6" s="1" t="s">
        <v>13</v>
      </c>
      <c r="I6" s="1" t="s">
        <v>14</v>
      </c>
    </row>
    <row r="7" spans="1:9" ht="15.75" customHeight="1" x14ac:dyDescent="0.25">
      <c r="A7" s="1">
        <v>38</v>
      </c>
      <c r="B7" s="1">
        <v>58955</v>
      </c>
      <c r="C7" s="1">
        <v>12</v>
      </c>
      <c r="D7" s="1">
        <v>12</v>
      </c>
      <c r="E7" s="2">
        <v>2.84540795655872</v>
      </c>
      <c r="F7" s="1">
        <v>27</v>
      </c>
      <c r="G7" s="1">
        <v>15</v>
      </c>
      <c r="H7" s="1" t="s">
        <v>11</v>
      </c>
      <c r="I7" s="1" t="s">
        <v>15</v>
      </c>
    </row>
    <row r="8" spans="1:9" ht="15.75" customHeight="1" x14ac:dyDescent="0.25">
      <c r="A8" s="1">
        <v>56</v>
      </c>
      <c r="B8" s="1">
        <v>36554</v>
      </c>
      <c r="C8" s="1">
        <v>9</v>
      </c>
      <c r="D8" s="1">
        <v>11</v>
      </c>
      <c r="E8" s="2">
        <v>3.2629819556061799</v>
      </c>
      <c r="F8" s="1">
        <v>24</v>
      </c>
      <c r="G8" s="1">
        <v>22</v>
      </c>
      <c r="H8" s="1" t="s">
        <v>13</v>
      </c>
      <c r="I8" s="1" t="s">
        <v>12</v>
      </c>
    </row>
    <row r="9" spans="1:9" ht="15.75" customHeight="1" x14ac:dyDescent="0.25">
      <c r="A9" s="1">
        <v>36</v>
      </c>
      <c r="B9" s="1">
        <v>48320</v>
      </c>
      <c r="C9" s="1">
        <v>20</v>
      </c>
      <c r="D9" s="1">
        <v>19</v>
      </c>
      <c r="E9" s="2">
        <v>3.4725861732331702</v>
      </c>
      <c r="F9" s="1">
        <v>42</v>
      </c>
      <c r="G9" s="1">
        <v>24</v>
      </c>
      <c r="H9" s="1" t="s">
        <v>13</v>
      </c>
      <c r="I9" s="1" t="s">
        <v>10</v>
      </c>
    </row>
    <row r="10" spans="1:9" ht="15.75" customHeight="1" x14ac:dyDescent="0.25">
      <c r="A10" s="1">
        <v>40</v>
      </c>
      <c r="B10" s="1">
        <v>72034</v>
      </c>
      <c r="C10" s="1">
        <v>8</v>
      </c>
      <c r="D10" s="1">
        <v>13</v>
      </c>
      <c r="E10" s="2">
        <v>2.8650488410724999</v>
      </c>
      <c r="F10" s="1">
        <v>36</v>
      </c>
      <c r="G10" s="1">
        <v>13</v>
      </c>
      <c r="H10" s="1" t="s">
        <v>9</v>
      </c>
      <c r="I10" s="1" t="s">
        <v>16</v>
      </c>
    </row>
    <row r="11" spans="1:9" ht="15.75" customHeight="1" x14ac:dyDescent="0.25">
      <c r="A11" s="1">
        <v>28</v>
      </c>
      <c r="B11" s="1">
        <v>33141</v>
      </c>
      <c r="C11" s="1">
        <v>6</v>
      </c>
      <c r="D11" s="1">
        <v>17</v>
      </c>
      <c r="E11" s="2">
        <v>8.9039860073127297</v>
      </c>
      <c r="F11" s="1">
        <v>18</v>
      </c>
      <c r="G11" s="1">
        <v>22</v>
      </c>
      <c r="H11" s="1" t="s">
        <v>11</v>
      </c>
      <c r="I11" s="1" t="s">
        <v>10</v>
      </c>
    </row>
    <row r="12" spans="1:9" ht="15.75" customHeight="1" x14ac:dyDescent="0.25">
      <c r="A12" s="1">
        <v>28</v>
      </c>
      <c r="B12" s="1">
        <v>64250</v>
      </c>
      <c r="C12" s="1">
        <v>10</v>
      </c>
      <c r="D12" s="1">
        <v>18</v>
      </c>
      <c r="E12" s="2">
        <v>7.8129921895500498</v>
      </c>
      <c r="F12" s="1">
        <v>53</v>
      </c>
      <c r="G12" s="1">
        <v>29</v>
      </c>
      <c r="H12" s="1" t="s">
        <v>11</v>
      </c>
      <c r="I12" s="1" t="s">
        <v>15</v>
      </c>
    </row>
    <row r="13" spans="1:9" ht="15.75" customHeight="1" x14ac:dyDescent="0.25">
      <c r="A13" s="1">
        <v>41</v>
      </c>
      <c r="B13" s="1">
        <v>75897</v>
      </c>
      <c r="C13" s="1">
        <v>9</v>
      </c>
      <c r="D13" s="1">
        <v>16</v>
      </c>
      <c r="E13" s="2">
        <v>1.4220682101209701</v>
      </c>
      <c r="F13" s="1">
        <v>26</v>
      </c>
      <c r="G13" s="1">
        <v>24</v>
      </c>
      <c r="H13" s="1" t="s">
        <v>11</v>
      </c>
      <c r="I13" s="1" t="s">
        <v>10</v>
      </c>
    </row>
    <row r="14" spans="1:9" ht="15.75" customHeight="1" x14ac:dyDescent="0.25">
      <c r="A14" s="1">
        <v>53</v>
      </c>
      <c r="B14" s="1">
        <v>56868</v>
      </c>
      <c r="C14" s="1">
        <v>12</v>
      </c>
      <c r="D14" s="1">
        <v>10</v>
      </c>
      <c r="E14" s="2">
        <v>3.4180523382277599</v>
      </c>
      <c r="F14" s="1">
        <v>65</v>
      </c>
      <c r="G14" s="1">
        <v>17</v>
      </c>
      <c r="H14" s="1" t="s">
        <v>11</v>
      </c>
      <c r="I14" s="1" t="s">
        <v>14</v>
      </c>
    </row>
    <row r="15" spans="1:9" ht="15.75" customHeight="1" x14ac:dyDescent="0.25">
      <c r="A15" s="1">
        <v>57</v>
      </c>
      <c r="B15" s="1">
        <v>24735</v>
      </c>
      <c r="C15" s="1">
        <v>10</v>
      </c>
      <c r="D15" s="1">
        <v>12</v>
      </c>
      <c r="E15" s="2">
        <v>1.19966267827271</v>
      </c>
      <c r="F15" s="1">
        <v>33</v>
      </c>
      <c r="G15" s="1">
        <v>14</v>
      </c>
      <c r="H15" s="1" t="s">
        <v>9</v>
      </c>
      <c r="I15" s="1" t="s">
        <v>15</v>
      </c>
    </row>
    <row r="16" spans="1:9" ht="15.75" customHeight="1" x14ac:dyDescent="0.25">
      <c r="A16" s="1">
        <v>41</v>
      </c>
      <c r="B16" s="1">
        <v>54902</v>
      </c>
      <c r="C16" s="1">
        <v>11</v>
      </c>
      <c r="D16" s="1">
        <v>18</v>
      </c>
      <c r="E16" s="2">
        <v>5.48348667981303</v>
      </c>
      <c r="F16" s="1">
        <v>44</v>
      </c>
      <c r="G16" s="1">
        <v>24</v>
      </c>
      <c r="H16" s="1" t="s">
        <v>9</v>
      </c>
      <c r="I16" s="1" t="s">
        <v>16</v>
      </c>
    </row>
    <row r="17" spans="1:9" ht="15.75" customHeight="1" x14ac:dyDescent="0.25">
      <c r="A17" s="1">
        <v>20</v>
      </c>
      <c r="B17" s="1">
        <v>48783</v>
      </c>
      <c r="C17" s="1">
        <v>9</v>
      </c>
      <c r="D17" s="1">
        <v>10</v>
      </c>
      <c r="E17" s="2">
        <v>5.2858962711011204</v>
      </c>
      <c r="F17" s="1">
        <v>56</v>
      </c>
      <c r="G17" s="1">
        <v>13</v>
      </c>
      <c r="H17" s="1" t="s">
        <v>13</v>
      </c>
      <c r="I17" s="1" t="s">
        <v>14</v>
      </c>
    </row>
    <row r="18" spans="1:9" ht="15.75" customHeight="1" x14ac:dyDescent="0.25">
      <c r="A18" s="1">
        <v>39</v>
      </c>
      <c r="B18" s="1">
        <v>57016</v>
      </c>
      <c r="C18" s="1">
        <v>11</v>
      </c>
      <c r="D18" s="1">
        <v>18</v>
      </c>
      <c r="E18" s="2">
        <v>8.4823434105625104</v>
      </c>
      <c r="F18" s="1">
        <v>54</v>
      </c>
      <c r="G18" s="1">
        <v>21</v>
      </c>
      <c r="H18" s="1" t="s">
        <v>13</v>
      </c>
      <c r="I18" s="1" t="s">
        <v>15</v>
      </c>
    </row>
    <row r="19" spans="1:9" ht="15.75" customHeight="1" x14ac:dyDescent="0.25">
      <c r="A19" s="1">
        <v>19</v>
      </c>
      <c r="B19" s="1">
        <v>61041</v>
      </c>
      <c r="C19" s="1">
        <v>14</v>
      </c>
      <c r="D19" s="1">
        <v>17</v>
      </c>
      <c r="E19" s="2">
        <v>3.76999515793944</v>
      </c>
      <c r="F19" s="1">
        <v>59</v>
      </c>
      <c r="G19" s="1">
        <v>22</v>
      </c>
      <c r="H19" s="1" t="s">
        <v>13</v>
      </c>
      <c r="I19" s="1" t="s">
        <v>16</v>
      </c>
    </row>
    <row r="20" spans="1:9" ht="15.75" customHeight="1" x14ac:dyDescent="0.25">
      <c r="A20" s="1">
        <v>41</v>
      </c>
      <c r="B20" s="1">
        <v>38304</v>
      </c>
      <c r="C20" s="1">
        <v>10</v>
      </c>
      <c r="D20" s="1">
        <v>10</v>
      </c>
      <c r="E20" s="2">
        <v>8.3474716169175593</v>
      </c>
      <c r="F20" s="1">
        <v>24</v>
      </c>
      <c r="G20" s="1">
        <v>11</v>
      </c>
      <c r="H20" s="1" t="s">
        <v>13</v>
      </c>
      <c r="I20" s="1" t="s">
        <v>14</v>
      </c>
    </row>
    <row r="21" spans="1:9" ht="15.75" customHeight="1" x14ac:dyDescent="0.25">
      <c r="A21" s="1">
        <v>61</v>
      </c>
      <c r="B21" s="1">
        <v>37341</v>
      </c>
      <c r="C21" s="1">
        <v>13</v>
      </c>
      <c r="D21" s="1">
        <v>15</v>
      </c>
      <c r="E21" s="2">
        <v>9.7117638889583997</v>
      </c>
      <c r="F21" s="1">
        <v>28</v>
      </c>
      <c r="G21" s="1">
        <v>28</v>
      </c>
      <c r="H21" s="1" t="s">
        <v>9</v>
      </c>
      <c r="I21" s="1" t="s">
        <v>14</v>
      </c>
    </row>
    <row r="22" spans="1:9" ht="15.75" customHeight="1" x14ac:dyDescent="0.25">
      <c r="A22" s="1">
        <v>47</v>
      </c>
      <c r="B22" s="1">
        <v>47741</v>
      </c>
      <c r="C22" s="1">
        <v>8</v>
      </c>
      <c r="D22" s="1">
        <v>14</v>
      </c>
      <c r="E22" s="2">
        <v>1.79567401029081</v>
      </c>
      <c r="F22" s="1">
        <v>42</v>
      </c>
      <c r="G22" s="1">
        <v>28</v>
      </c>
      <c r="H22" s="1" t="s">
        <v>11</v>
      </c>
      <c r="I22" s="1" t="s">
        <v>15</v>
      </c>
    </row>
    <row r="23" spans="1:9" ht="15.75" customHeight="1" x14ac:dyDescent="0.25">
      <c r="A23" s="1">
        <v>55</v>
      </c>
      <c r="B23" s="1">
        <v>35516</v>
      </c>
      <c r="C23" s="1">
        <v>8</v>
      </c>
      <c r="D23" s="1">
        <v>15</v>
      </c>
      <c r="E23" s="2">
        <v>8.1263605552266895</v>
      </c>
      <c r="F23" s="1">
        <v>48</v>
      </c>
      <c r="G23" s="1">
        <v>13</v>
      </c>
      <c r="H23" s="1" t="s">
        <v>9</v>
      </c>
      <c r="I23" s="1" t="s">
        <v>12</v>
      </c>
    </row>
    <row r="24" spans="1:9" ht="15.75" customHeight="1" x14ac:dyDescent="0.25">
      <c r="A24" s="1">
        <v>19</v>
      </c>
      <c r="B24" s="1">
        <v>52257</v>
      </c>
      <c r="C24" s="1">
        <v>4</v>
      </c>
      <c r="D24" s="1">
        <v>19</v>
      </c>
      <c r="E24" s="2">
        <v>6.3096030742387201</v>
      </c>
      <c r="F24" s="1">
        <v>39</v>
      </c>
      <c r="G24" s="1">
        <v>13</v>
      </c>
      <c r="H24" s="1" t="s">
        <v>13</v>
      </c>
      <c r="I24" s="1" t="s">
        <v>14</v>
      </c>
    </row>
    <row r="25" spans="1:9" ht="15.75" customHeight="1" x14ac:dyDescent="0.25">
      <c r="A25" s="1">
        <v>38</v>
      </c>
      <c r="B25" s="1">
        <v>48298</v>
      </c>
      <c r="C25" s="1">
        <v>7</v>
      </c>
      <c r="D25" s="1">
        <v>14</v>
      </c>
      <c r="E25" s="2">
        <v>5.3204137031662704</v>
      </c>
      <c r="F25" s="1">
        <v>23</v>
      </c>
      <c r="G25" s="1">
        <v>20</v>
      </c>
      <c r="H25" s="1" t="s">
        <v>9</v>
      </c>
      <c r="I25" s="1" t="s">
        <v>14</v>
      </c>
    </row>
    <row r="26" spans="1:9" ht="15.75" customHeight="1" x14ac:dyDescent="0.25">
      <c r="A26" s="1">
        <v>50</v>
      </c>
      <c r="B26" s="1">
        <v>89502</v>
      </c>
      <c r="C26" s="1">
        <v>10</v>
      </c>
      <c r="D26" s="1">
        <v>15</v>
      </c>
      <c r="E26" s="2">
        <v>4.78482200798567</v>
      </c>
      <c r="F26" s="1">
        <v>44</v>
      </c>
      <c r="G26" s="1">
        <v>14</v>
      </c>
      <c r="H26" s="1" t="s">
        <v>11</v>
      </c>
      <c r="I26" s="1" t="s">
        <v>16</v>
      </c>
    </row>
    <row r="27" spans="1:9" ht="15.75" customHeight="1" x14ac:dyDescent="0.25">
      <c r="A27" s="1">
        <v>29</v>
      </c>
      <c r="B27" s="1">
        <v>34623</v>
      </c>
      <c r="C27" s="1">
        <v>9</v>
      </c>
      <c r="D27" s="1">
        <v>14</v>
      </c>
      <c r="E27" s="2">
        <v>8.0620143754987801</v>
      </c>
      <c r="F27" s="1">
        <v>38</v>
      </c>
      <c r="G27" s="1">
        <v>29</v>
      </c>
      <c r="H27" s="1" t="s">
        <v>11</v>
      </c>
      <c r="I27" s="1" t="s">
        <v>10</v>
      </c>
    </row>
    <row r="28" spans="1:9" ht="15.75" customHeight="1" x14ac:dyDescent="0.25">
      <c r="A28" s="1">
        <v>39</v>
      </c>
      <c r="B28" s="1">
        <v>38269</v>
      </c>
      <c r="C28" s="1">
        <v>16</v>
      </c>
      <c r="D28" s="1">
        <v>14</v>
      </c>
      <c r="E28" s="2">
        <v>6.7542522127681801</v>
      </c>
      <c r="F28" s="1">
        <v>37</v>
      </c>
      <c r="G28" s="1">
        <v>20</v>
      </c>
      <c r="H28" s="1" t="s">
        <v>9</v>
      </c>
      <c r="I28" s="1" t="s">
        <v>15</v>
      </c>
    </row>
    <row r="29" spans="1:9" ht="15.75" customHeight="1" x14ac:dyDescent="0.25">
      <c r="A29" s="1">
        <v>61</v>
      </c>
      <c r="B29" s="1">
        <v>56359</v>
      </c>
      <c r="C29" s="1">
        <v>7</v>
      </c>
      <c r="D29" s="1">
        <v>13</v>
      </c>
      <c r="E29" s="2">
        <v>8.2454020076742491</v>
      </c>
      <c r="F29" s="1">
        <v>17</v>
      </c>
      <c r="G29" s="1">
        <v>19</v>
      </c>
      <c r="H29" s="1" t="s">
        <v>9</v>
      </c>
      <c r="I29" s="1" t="s">
        <v>15</v>
      </c>
    </row>
    <row r="30" spans="1:9" ht="15.75" customHeight="1" x14ac:dyDescent="0.25">
      <c r="A30" s="1">
        <v>42</v>
      </c>
      <c r="B30" s="1">
        <v>63090</v>
      </c>
      <c r="C30" s="1">
        <v>9</v>
      </c>
      <c r="D30" s="1">
        <v>12</v>
      </c>
      <c r="E30" s="2">
        <v>9.2835952808963604</v>
      </c>
      <c r="F30" s="1">
        <v>47</v>
      </c>
      <c r="G30" s="1">
        <v>17</v>
      </c>
      <c r="H30" s="1" t="s">
        <v>9</v>
      </c>
      <c r="I30" s="1" t="s">
        <v>12</v>
      </c>
    </row>
    <row r="31" spans="1:9" ht="15.75" customHeight="1" x14ac:dyDescent="0.25">
      <c r="A31" s="1">
        <v>44</v>
      </c>
      <c r="B31" s="1">
        <v>84308</v>
      </c>
      <c r="C31" s="1">
        <v>8</v>
      </c>
      <c r="D31" s="1">
        <v>12</v>
      </c>
      <c r="E31" s="2">
        <v>6.5553734088756199</v>
      </c>
      <c r="F31" s="1">
        <v>41</v>
      </c>
      <c r="G31" s="1">
        <v>15</v>
      </c>
      <c r="H31" s="1" t="s">
        <v>13</v>
      </c>
      <c r="I31" s="1" t="s">
        <v>12</v>
      </c>
    </row>
    <row r="32" spans="1:9" ht="15.75" customHeight="1" x14ac:dyDescent="0.25">
      <c r="A32" s="1">
        <v>59</v>
      </c>
      <c r="B32" s="1">
        <v>74343</v>
      </c>
      <c r="C32" s="1">
        <v>14</v>
      </c>
      <c r="D32" s="1">
        <v>13</v>
      </c>
      <c r="E32" s="2">
        <v>9.8241645258313994</v>
      </c>
      <c r="F32" s="1">
        <v>57</v>
      </c>
      <c r="G32" s="1">
        <v>15</v>
      </c>
      <c r="H32" s="1" t="s">
        <v>9</v>
      </c>
      <c r="I32" s="1" t="s">
        <v>15</v>
      </c>
    </row>
    <row r="33" spans="1:9" ht="15.75" customHeight="1" x14ac:dyDescent="0.25">
      <c r="A33" s="1">
        <v>45</v>
      </c>
      <c r="B33" s="1">
        <v>62355</v>
      </c>
      <c r="C33" s="1">
        <v>12</v>
      </c>
      <c r="D33" s="1">
        <v>18</v>
      </c>
      <c r="E33" s="2">
        <v>6.4727906458769597</v>
      </c>
      <c r="F33" s="1">
        <v>39</v>
      </c>
      <c r="G33" s="1">
        <v>17</v>
      </c>
      <c r="H33" s="1" t="s">
        <v>9</v>
      </c>
      <c r="I33" s="1" t="s">
        <v>12</v>
      </c>
    </row>
    <row r="34" spans="1:9" ht="15.75" customHeight="1" x14ac:dyDescent="0.25">
      <c r="A34" s="1">
        <v>33</v>
      </c>
      <c r="B34" s="1">
        <v>54395</v>
      </c>
      <c r="C34" s="1">
        <v>8</v>
      </c>
      <c r="D34" s="1">
        <v>11</v>
      </c>
      <c r="E34" s="2">
        <v>6.72979889460054</v>
      </c>
      <c r="F34" s="1">
        <v>45</v>
      </c>
      <c r="G34" s="1">
        <v>24</v>
      </c>
      <c r="H34" s="1" t="s">
        <v>9</v>
      </c>
      <c r="I34" s="1" t="s">
        <v>16</v>
      </c>
    </row>
    <row r="35" spans="1:9" ht="15.75" customHeight="1" x14ac:dyDescent="0.25">
      <c r="A35" s="1">
        <v>32</v>
      </c>
      <c r="B35" s="1">
        <v>63449</v>
      </c>
      <c r="C35" s="1">
        <v>7</v>
      </c>
      <c r="D35" s="1">
        <v>18</v>
      </c>
      <c r="E35" s="2">
        <v>5.9933404768800296</v>
      </c>
      <c r="F35" s="1">
        <v>48</v>
      </c>
      <c r="G35" s="1">
        <v>23</v>
      </c>
      <c r="H35" s="1" t="s">
        <v>11</v>
      </c>
      <c r="I35" s="1" t="s">
        <v>15</v>
      </c>
    </row>
    <row r="36" spans="1:9" ht="15.75" customHeight="1" x14ac:dyDescent="0.25">
      <c r="A36" s="1">
        <v>64</v>
      </c>
      <c r="B36" s="1">
        <v>40845</v>
      </c>
      <c r="C36" s="1">
        <v>5</v>
      </c>
      <c r="D36" s="1">
        <v>10</v>
      </c>
      <c r="E36" s="2">
        <v>1.8190188194619701</v>
      </c>
      <c r="F36" s="1">
        <v>22</v>
      </c>
      <c r="G36" s="1">
        <v>20</v>
      </c>
      <c r="H36" s="1" t="s">
        <v>11</v>
      </c>
      <c r="I36" s="1" t="s">
        <v>12</v>
      </c>
    </row>
    <row r="37" spans="1:9" ht="15.75" customHeight="1" x14ac:dyDescent="0.25">
      <c r="A37" s="1">
        <v>61</v>
      </c>
      <c r="B37" s="1">
        <v>45257</v>
      </c>
      <c r="C37" s="1">
        <v>11</v>
      </c>
      <c r="D37" s="1">
        <v>10</v>
      </c>
      <c r="E37" s="2">
        <v>7.5375732938520503</v>
      </c>
      <c r="F37" s="1">
        <v>66</v>
      </c>
      <c r="G37" s="1">
        <v>21</v>
      </c>
      <c r="H37" s="1" t="s">
        <v>13</v>
      </c>
      <c r="I37" s="1" t="s">
        <v>15</v>
      </c>
    </row>
    <row r="38" spans="1:9" ht="15.75" customHeight="1" x14ac:dyDescent="0.25">
      <c r="A38" s="1">
        <v>20</v>
      </c>
      <c r="B38" s="1">
        <v>27763</v>
      </c>
      <c r="C38" s="1">
        <v>4</v>
      </c>
      <c r="D38" s="1">
        <v>14</v>
      </c>
      <c r="E38" s="2">
        <v>5.9270167620920002</v>
      </c>
      <c r="F38" s="1">
        <v>35</v>
      </c>
      <c r="G38" s="1">
        <v>22</v>
      </c>
      <c r="H38" s="1" t="s">
        <v>13</v>
      </c>
      <c r="I38" s="1" t="s">
        <v>10</v>
      </c>
    </row>
    <row r="39" spans="1:9" ht="15.75" customHeight="1" x14ac:dyDescent="0.25">
      <c r="A39" s="1">
        <v>54</v>
      </c>
      <c r="B39" s="1">
        <v>46567</v>
      </c>
      <c r="C39" s="1">
        <v>9</v>
      </c>
      <c r="D39" s="1">
        <v>15</v>
      </c>
      <c r="E39" s="2">
        <v>5.0581940267449399</v>
      </c>
      <c r="F39" s="1">
        <v>44</v>
      </c>
      <c r="G39" s="1">
        <v>17</v>
      </c>
      <c r="H39" s="1" t="s">
        <v>11</v>
      </c>
      <c r="I39" s="1" t="s">
        <v>14</v>
      </c>
    </row>
    <row r="40" spans="1:9" ht="15.75" customHeight="1" x14ac:dyDescent="0.25">
      <c r="A40" s="1">
        <v>24</v>
      </c>
      <c r="B40" s="1">
        <v>64439</v>
      </c>
      <c r="C40" s="1">
        <v>8</v>
      </c>
      <c r="D40" s="1">
        <v>15</v>
      </c>
      <c r="E40" s="2">
        <v>9.9424150562945606</v>
      </c>
      <c r="F40" s="1">
        <v>46</v>
      </c>
      <c r="G40" s="1">
        <v>27</v>
      </c>
      <c r="H40" s="1" t="s">
        <v>11</v>
      </c>
      <c r="I40" s="1" t="s">
        <v>15</v>
      </c>
    </row>
    <row r="41" spans="1:9" ht="15.75" customHeight="1" x14ac:dyDescent="0.25">
      <c r="A41" s="1">
        <v>38</v>
      </c>
      <c r="B41" s="1">
        <v>46854</v>
      </c>
      <c r="C41" s="1">
        <v>14</v>
      </c>
      <c r="D41" s="1">
        <v>12</v>
      </c>
      <c r="E41" s="2">
        <v>3.6816350638775499</v>
      </c>
      <c r="F41" s="1">
        <v>31</v>
      </c>
      <c r="G41" s="1">
        <v>10</v>
      </c>
      <c r="H41" s="1" t="s">
        <v>11</v>
      </c>
      <c r="I41" s="1" t="s">
        <v>14</v>
      </c>
    </row>
    <row r="42" spans="1:9" ht="15.75" customHeight="1" x14ac:dyDescent="0.25">
      <c r="A42" s="1">
        <v>26</v>
      </c>
      <c r="B42" s="1">
        <v>38389</v>
      </c>
      <c r="C42" s="1">
        <v>10</v>
      </c>
      <c r="D42" s="1">
        <v>16</v>
      </c>
      <c r="E42" s="2">
        <v>5.7124204841350998</v>
      </c>
      <c r="F42" s="1">
        <v>58</v>
      </c>
      <c r="G42" s="1">
        <v>24</v>
      </c>
      <c r="H42" s="1" t="s">
        <v>9</v>
      </c>
      <c r="I42" s="1" t="s">
        <v>12</v>
      </c>
    </row>
    <row r="43" spans="1:9" ht="15.75" customHeight="1" x14ac:dyDescent="0.25">
      <c r="A43" s="1">
        <v>56</v>
      </c>
      <c r="B43" s="1">
        <v>44603</v>
      </c>
      <c r="C43" s="1">
        <v>13</v>
      </c>
      <c r="D43" s="1">
        <v>18</v>
      </c>
      <c r="E43" s="2">
        <v>7.2787768434411699</v>
      </c>
      <c r="F43" s="1">
        <v>42</v>
      </c>
      <c r="G43" s="1">
        <v>17</v>
      </c>
      <c r="H43" s="1" t="s">
        <v>9</v>
      </c>
      <c r="I43" s="1" t="s">
        <v>14</v>
      </c>
    </row>
    <row r="44" spans="1:9" ht="15.75" customHeight="1" x14ac:dyDescent="0.25">
      <c r="A44" s="1">
        <v>35</v>
      </c>
      <c r="B44" s="1">
        <v>60861</v>
      </c>
      <c r="C44" s="1">
        <v>18</v>
      </c>
      <c r="D44" s="1">
        <v>19</v>
      </c>
      <c r="E44" s="2">
        <v>8.1682459810648904</v>
      </c>
      <c r="F44" s="1">
        <v>37</v>
      </c>
      <c r="G44" s="1">
        <v>20</v>
      </c>
      <c r="H44" s="1" t="s">
        <v>11</v>
      </c>
      <c r="I44" s="1" t="s">
        <v>15</v>
      </c>
    </row>
    <row r="45" spans="1:9" ht="15.75" customHeight="1" x14ac:dyDescent="0.25">
      <c r="A45" s="1">
        <v>21</v>
      </c>
      <c r="B45" s="1">
        <v>46163</v>
      </c>
      <c r="C45" s="1">
        <v>14</v>
      </c>
      <c r="D45" s="1">
        <v>17</v>
      </c>
      <c r="E45" s="2">
        <v>5.13412127151555</v>
      </c>
      <c r="F45" s="1">
        <v>41</v>
      </c>
      <c r="G45" s="1">
        <v>21</v>
      </c>
      <c r="H45" s="1" t="s">
        <v>9</v>
      </c>
      <c r="I45" s="1" t="s">
        <v>10</v>
      </c>
    </row>
    <row r="46" spans="1:9" ht="15.75" customHeight="1" x14ac:dyDescent="0.25">
      <c r="A46" s="1">
        <v>42</v>
      </c>
      <c r="B46" s="1">
        <v>62748</v>
      </c>
      <c r="C46" s="1">
        <v>9</v>
      </c>
      <c r="D46" s="1">
        <v>15</v>
      </c>
      <c r="E46" s="2">
        <v>8.5788227351683801</v>
      </c>
      <c r="F46" s="1">
        <v>47</v>
      </c>
      <c r="G46" s="1">
        <v>21</v>
      </c>
      <c r="H46" s="1" t="s">
        <v>9</v>
      </c>
      <c r="I46" s="1" t="s">
        <v>12</v>
      </c>
    </row>
    <row r="47" spans="1:9" ht="15.75" customHeight="1" x14ac:dyDescent="0.25">
      <c r="A47" s="1">
        <v>31</v>
      </c>
      <c r="B47" s="1">
        <v>30330</v>
      </c>
      <c r="C47" s="1">
        <v>6</v>
      </c>
      <c r="D47" s="1">
        <v>17</v>
      </c>
      <c r="E47" s="2">
        <v>7.9202596718385703</v>
      </c>
      <c r="F47" s="1">
        <v>40</v>
      </c>
      <c r="G47" s="1">
        <v>13</v>
      </c>
      <c r="H47" s="1" t="s">
        <v>13</v>
      </c>
      <c r="I47" s="1" t="s">
        <v>15</v>
      </c>
    </row>
    <row r="48" spans="1:9" ht="15.75" customHeight="1" x14ac:dyDescent="0.25">
      <c r="A48" s="1">
        <v>26</v>
      </c>
      <c r="B48" s="1">
        <v>36945</v>
      </c>
      <c r="C48" s="1">
        <v>9</v>
      </c>
      <c r="D48" s="1">
        <v>14</v>
      </c>
      <c r="E48" s="2">
        <v>1.5961238006667899</v>
      </c>
      <c r="F48" s="1">
        <v>48</v>
      </c>
      <c r="G48" s="1">
        <v>25</v>
      </c>
      <c r="H48" s="1" t="s">
        <v>11</v>
      </c>
      <c r="I48" s="1" t="s">
        <v>12</v>
      </c>
    </row>
    <row r="49" spans="1:9" ht="15.75" customHeight="1" x14ac:dyDescent="0.25">
      <c r="A49" s="1">
        <v>43</v>
      </c>
      <c r="B49" s="1">
        <v>42400</v>
      </c>
      <c r="C49" s="1">
        <v>7</v>
      </c>
      <c r="D49" s="1">
        <v>17</v>
      </c>
      <c r="E49" s="2">
        <v>1.4127513976416901</v>
      </c>
      <c r="F49" s="1">
        <v>23</v>
      </c>
      <c r="G49" s="1">
        <v>13</v>
      </c>
      <c r="H49" s="1" t="s">
        <v>11</v>
      </c>
      <c r="I49" s="1" t="s">
        <v>16</v>
      </c>
    </row>
    <row r="50" spans="1:9" ht="15.75" customHeight="1" x14ac:dyDescent="0.25">
      <c r="A50" s="1">
        <v>19</v>
      </c>
      <c r="B50" s="1">
        <v>30350</v>
      </c>
      <c r="C50" s="1">
        <v>4</v>
      </c>
      <c r="D50" s="1">
        <v>19</v>
      </c>
      <c r="E50" s="2">
        <v>6.5872511597988197</v>
      </c>
      <c r="F50" s="1">
        <v>32</v>
      </c>
      <c r="G50" s="1">
        <v>14</v>
      </c>
      <c r="H50" s="1" t="s">
        <v>9</v>
      </c>
      <c r="I50" s="1" t="s">
        <v>14</v>
      </c>
    </row>
    <row r="51" spans="1:9" ht="15.75" customHeight="1" x14ac:dyDescent="0.25">
      <c r="A51" s="1">
        <v>37</v>
      </c>
      <c r="B51" s="1">
        <v>94154</v>
      </c>
      <c r="C51" s="1">
        <v>12</v>
      </c>
      <c r="D51" s="1">
        <v>13</v>
      </c>
      <c r="E51" s="2">
        <v>4.1267206740287197</v>
      </c>
      <c r="F51" s="1">
        <v>18</v>
      </c>
      <c r="G51" s="1">
        <v>14</v>
      </c>
      <c r="H51" s="1" t="s">
        <v>11</v>
      </c>
      <c r="I51" s="1" t="s">
        <v>16</v>
      </c>
    </row>
    <row r="52" spans="1:9" ht="15.75" customHeight="1" x14ac:dyDescent="0.25">
      <c r="A52" s="1">
        <v>45</v>
      </c>
      <c r="B52" s="1">
        <v>33556</v>
      </c>
      <c r="C52" s="1">
        <v>15</v>
      </c>
      <c r="D52" s="1">
        <v>19</v>
      </c>
      <c r="E52" s="2">
        <v>2.8821771197066202</v>
      </c>
      <c r="F52" s="1">
        <v>59</v>
      </c>
      <c r="G52" s="1">
        <v>17</v>
      </c>
      <c r="H52" s="1" t="s">
        <v>13</v>
      </c>
      <c r="I52" s="1" t="s">
        <v>15</v>
      </c>
    </row>
    <row r="53" spans="1:9" ht="15.75" customHeight="1" x14ac:dyDescent="0.25">
      <c r="A53" s="1">
        <v>64</v>
      </c>
      <c r="B53" s="1">
        <v>63723</v>
      </c>
      <c r="C53" s="1">
        <v>7</v>
      </c>
      <c r="D53" s="1">
        <v>17</v>
      </c>
      <c r="E53" s="2">
        <v>6.21684941024564</v>
      </c>
      <c r="F53" s="1">
        <v>59</v>
      </c>
      <c r="G53" s="1">
        <v>19</v>
      </c>
      <c r="H53" s="1" t="s">
        <v>13</v>
      </c>
      <c r="I53" s="1" t="s">
        <v>10</v>
      </c>
    </row>
    <row r="54" spans="1:9" ht="15.75" customHeight="1" x14ac:dyDescent="0.25">
      <c r="A54" s="1">
        <v>24</v>
      </c>
      <c r="B54" s="1">
        <v>40009</v>
      </c>
      <c r="C54" s="1">
        <v>7</v>
      </c>
      <c r="D54" s="1">
        <v>19</v>
      </c>
      <c r="E54" s="2">
        <v>4.0740688941089003</v>
      </c>
      <c r="F54" s="1">
        <v>46</v>
      </c>
      <c r="G54" s="1">
        <v>26</v>
      </c>
      <c r="H54" s="1" t="s">
        <v>13</v>
      </c>
      <c r="I54" s="1" t="s">
        <v>12</v>
      </c>
    </row>
    <row r="55" spans="1:9" ht="15.75" customHeight="1" x14ac:dyDescent="0.25">
      <c r="A55" s="1">
        <v>61</v>
      </c>
      <c r="B55" s="1">
        <v>42293</v>
      </c>
      <c r="C55" s="1">
        <v>11</v>
      </c>
      <c r="D55" s="1">
        <v>11</v>
      </c>
      <c r="E55" s="2">
        <v>5.8353707504266303</v>
      </c>
      <c r="F55" s="1">
        <v>29</v>
      </c>
      <c r="G55" s="1">
        <v>18</v>
      </c>
      <c r="H55" s="1" t="s">
        <v>11</v>
      </c>
      <c r="I55" s="1" t="s">
        <v>14</v>
      </c>
    </row>
    <row r="56" spans="1:9" ht="15.75" customHeight="1" x14ac:dyDescent="0.25">
      <c r="A56" s="1">
        <v>25</v>
      </c>
      <c r="B56" s="1">
        <v>54519</v>
      </c>
      <c r="C56" s="1">
        <v>11</v>
      </c>
      <c r="D56" s="1">
        <v>14</v>
      </c>
      <c r="E56" s="2">
        <v>5.1410724308521401</v>
      </c>
      <c r="F56" s="1">
        <v>63</v>
      </c>
      <c r="G56" s="1">
        <v>28</v>
      </c>
      <c r="H56" s="1" t="s">
        <v>11</v>
      </c>
      <c r="I56" s="1" t="s">
        <v>12</v>
      </c>
    </row>
    <row r="57" spans="1:9" ht="15.75" customHeight="1" x14ac:dyDescent="0.25">
      <c r="A57" s="1">
        <v>64</v>
      </c>
      <c r="B57" s="1">
        <v>28122</v>
      </c>
      <c r="C57" s="1">
        <v>12</v>
      </c>
      <c r="D57" s="1">
        <v>18</v>
      </c>
      <c r="E57" s="2">
        <v>6.2628949535423803</v>
      </c>
      <c r="F57" s="1">
        <v>33</v>
      </c>
      <c r="G57" s="1">
        <v>23</v>
      </c>
      <c r="H57" s="1" t="s">
        <v>11</v>
      </c>
      <c r="I57" s="1" t="s">
        <v>15</v>
      </c>
    </row>
    <row r="58" spans="1:9" ht="15.75" customHeight="1" x14ac:dyDescent="0.25">
      <c r="A58" s="1">
        <v>52</v>
      </c>
      <c r="B58" s="1">
        <v>40058</v>
      </c>
      <c r="C58" s="1">
        <v>11</v>
      </c>
      <c r="D58" s="1">
        <v>13</v>
      </c>
      <c r="E58" s="2">
        <v>4.6027044001925299</v>
      </c>
      <c r="F58" s="1">
        <v>37</v>
      </c>
      <c r="G58" s="1">
        <v>17</v>
      </c>
      <c r="H58" s="1" t="s">
        <v>11</v>
      </c>
      <c r="I58" s="1" t="s">
        <v>12</v>
      </c>
    </row>
    <row r="59" spans="1:9" ht="15.75" customHeight="1" x14ac:dyDescent="0.25">
      <c r="A59" s="1">
        <v>31</v>
      </c>
      <c r="B59" s="1">
        <v>47802</v>
      </c>
      <c r="C59" s="1">
        <v>6</v>
      </c>
      <c r="D59" s="1">
        <v>15</v>
      </c>
      <c r="E59" s="2">
        <v>7.2790081632723798</v>
      </c>
      <c r="F59" s="1">
        <v>41</v>
      </c>
      <c r="G59" s="1">
        <v>18</v>
      </c>
      <c r="H59" s="1" t="s">
        <v>11</v>
      </c>
      <c r="I59" s="1" t="s">
        <v>14</v>
      </c>
    </row>
    <row r="60" spans="1:9" ht="15.75" customHeight="1" x14ac:dyDescent="0.25">
      <c r="A60" s="1">
        <v>34</v>
      </c>
      <c r="B60" s="1">
        <v>37309</v>
      </c>
      <c r="C60" s="1">
        <v>5</v>
      </c>
      <c r="D60" s="1">
        <v>10</v>
      </c>
      <c r="E60" s="2">
        <v>2.62060545114368</v>
      </c>
      <c r="F60" s="1">
        <v>44</v>
      </c>
      <c r="G60" s="1">
        <v>20</v>
      </c>
      <c r="H60" s="1" t="s">
        <v>13</v>
      </c>
      <c r="I60" s="1" t="s">
        <v>15</v>
      </c>
    </row>
    <row r="61" spans="1:9" ht="15.75" customHeight="1" x14ac:dyDescent="0.25">
      <c r="A61" s="1">
        <v>53</v>
      </c>
      <c r="B61" s="1">
        <v>37662</v>
      </c>
      <c r="C61" s="1">
        <v>6</v>
      </c>
      <c r="D61" s="1">
        <v>18</v>
      </c>
      <c r="E61" s="2">
        <v>7.2685131960437097</v>
      </c>
      <c r="F61" s="1">
        <v>46</v>
      </c>
      <c r="G61" s="1">
        <v>10</v>
      </c>
      <c r="H61" s="1" t="s">
        <v>9</v>
      </c>
      <c r="I61" s="1" t="s">
        <v>12</v>
      </c>
    </row>
    <row r="62" spans="1:9" ht="15.75" customHeight="1" x14ac:dyDescent="0.25">
      <c r="A62" s="1">
        <v>57</v>
      </c>
      <c r="B62" s="1">
        <v>66300</v>
      </c>
      <c r="C62" s="1">
        <v>8</v>
      </c>
      <c r="D62" s="1">
        <v>10</v>
      </c>
      <c r="E62" s="2">
        <v>4.70495092921775</v>
      </c>
      <c r="F62" s="1">
        <v>46</v>
      </c>
      <c r="G62" s="1">
        <v>23</v>
      </c>
      <c r="H62" s="1" t="s">
        <v>13</v>
      </c>
      <c r="I62" s="1" t="s">
        <v>10</v>
      </c>
    </row>
    <row r="63" spans="1:9" ht="15.75" customHeight="1" x14ac:dyDescent="0.25">
      <c r="A63" s="1">
        <v>21</v>
      </c>
      <c r="B63" s="1">
        <v>65074</v>
      </c>
      <c r="C63" s="1">
        <v>11</v>
      </c>
      <c r="D63" s="1">
        <v>14</v>
      </c>
      <c r="E63" s="2">
        <v>8.8688584436897493</v>
      </c>
      <c r="F63" s="1">
        <v>38</v>
      </c>
      <c r="G63" s="1">
        <v>14</v>
      </c>
      <c r="H63" s="1" t="s">
        <v>11</v>
      </c>
      <c r="I63" s="1" t="s">
        <v>15</v>
      </c>
    </row>
    <row r="64" spans="1:9" ht="15.75" customHeight="1" x14ac:dyDescent="0.25">
      <c r="A64" s="1">
        <v>19</v>
      </c>
      <c r="B64" s="1">
        <v>43373</v>
      </c>
      <c r="C64" s="1">
        <v>7</v>
      </c>
      <c r="D64" s="1">
        <v>13</v>
      </c>
      <c r="E64" s="2">
        <v>5.6371244937778897</v>
      </c>
      <c r="F64" s="1">
        <v>46</v>
      </c>
      <c r="G64" s="1">
        <v>23</v>
      </c>
      <c r="H64" s="1" t="s">
        <v>13</v>
      </c>
      <c r="I64" s="1" t="s">
        <v>15</v>
      </c>
    </row>
    <row r="65" spans="1:9" ht="15.75" customHeight="1" x14ac:dyDescent="0.25">
      <c r="A65" s="1">
        <v>23</v>
      </c>
      <c r="B65" s="1">
        <v>48737</v>
      </c>
      <c r="C65" s="1">
        <v>16</v>
      </c>
      <c r="D65" s="1">
        <v>12</v>
      </c>
      <c r="E65" s="2">
        <v>9.7579931434309302</v>
      </c>
      <c r="F65" s="1">
        <v>38</v>
      </c>
      <c r="G65" s="1">
        <v>13</v>
      </c>
      <c r="H65" s="1" t="s">
        <v>11</v>
      </c>
      <c r="I65" s="1" t="s">
        <v>10</v>
      </c>
    </row>
    <row r="66" spans="1:9" ht="15.75" customHeight="1" x14ac:dyDescent="0.25">
      <c r="A66" s="1">
        <v>59</v>
      </c>
      <c r="B66" s="1">
        <v>68555</v>
      </c>
      <c r="C66" s="1">
        <v>10</v>
      </c>
      <c r="D66" s="1">
        <v>15</v>
      </c>
      <c r="E66" s="2">
        <v>6.41741855986864</v>
      </c>
      <c r="F66" s="1">
        <v>45</v>
      </c>
      <c r="G66" s="1">
        <v>10</v>
      </c>
      <c r="H66" s="1" t="s">
        <v>11</v>
      </c>
      <c r="I66" s="1" t="s">
        <v>16</v>
      </c>
    </row>
    <row r="67" spans="1:9" ht="15.75" customHeight="1" x14ac:dyDescent="0.25">
      <c r="A67" s="1">
        <v>21</v>
      </c>
      <c r="B67" s="1">
        <v>28602</v>
      </c>
      <c r="C67" s="1">
        <v>16</v>
      </c>
      <c r="D67" s="1">
        <v>11</v>
      </c>
      <c r="E67" s="2">
        <v>3.0146415931568802</v>
      </c>
      <c r="F67" s="1">
        <v>44</v>
      </c>
      <c r="G67" s="1">
        <v>28</v>
      </c>
      <c r="H67" s="1" t="s">
        <v>13</v>
      </c>
      <c r="I67" s="1" t="s">
        <v>14</v>
      </c>
    </row>
    <row r="68" spans="1:9" ht="15.75" customHeight="1" x14ac:dyDescent="0.25">
      <c r="A68" s="1">
        <v>46</v>
      </c>
      <c r="B68" s="1">
        <v>55070</v>
      </c>
      <c r="C68" s="1">
        <v>11</v>
      </c>
      <c r="D68" s="1">
        <v>12</v>
      </c>
      <c r="E68" s="2">
        <v>8.3961157316000392</v>
      </c>
      <c r="F68" s="1">
        <v>47</v>
      </c>
      <c r="G68" s="1">
        <v>17</v>
      </c>
      <c r="H68" s="1" t="s">
        <v>11</v>
      </c>
      <c r="I68" s="1" t="s">
        <v>16</v>
      </c>
    </row>
    <row r="69" spans="1:9" ht="15.75" customHeight="1" x14ac:dyDescent="0.25">
      <c r="A69" s="1">
        <v>35</v>
      </c>
      <c r="B69" s="1">
        <v>79618</v>
      </c>
      <c r="C69" s="1">
        <v>12</v>
      </c>
      <c r="D69" s="1">
        <v>14</v>
      </c>
      <c r="E69" s="2">
        <v>4.1057436504014797</v>
      </c>
      <c r="F69" s="1">
        <v>46</v>
      </c>
      <c r="G69" s="1">
        <v>24</v>
      </c>
      <c r="H69" s="1" t="s">
        <v>9</v>
      </c>
      <c r="I69" s="1" t="s">
        <v>12</v>
      </c>
    </row>
    <row r="70" spans="1:9" ht="15.75" customHeight="1" x14ac:dyDescent="0.25">
      <c r="A70" s="1">
        <v>43</v>
      </c>
      <c r="B70" s="1">
        <v>79475</v>
      </c>
      <c r="C70" s="1">
        <v>6</v>
      </c>
      <c r="D70" s="1">
        <v>18</v>
      </c>
      <c r="E70" s="2">
        <v>4.1285729303441503</v>
      </c>
      <c r="F70" s="1">
        <v>35</v>
      </c>
      <c r="G70" s="1">
        <v>24</v>
      </c>
      <c r="H70" s="1" t="s">
        <v>11</v>
      </c>
      <c r="I70" s="1" t="s">
        <v>10</v>
      </c>
    </row>
    <row r="71" spans="1:9" ht="15.75" customHeight="1" x14ac:dyDescent="0.25">
      <c r="A71" s="1">
        <v>61</v>
      </c>
      <c r="B71" s="1">
        <v>20901</v>
      </c>
      <c r="C71" s="1">
        <v>13</v>
      </c>
      <c r="D71" s="1">
        <v>11</v>
      </c>
      <c r="E71" s="2">
        <v>1.28624213336648</v>
      </c>
      <c r="F71" s="1">
        <v>44</v>
      </c>
      <c r="G71" s="1">
        <v>18</v>
      </c>
      <c r="H71" s="1" t="s">
        <v>9</v>
      </c>
      <c r="I71" s="1" t="s">
        <v>16</v>
      </c>
    </row>
    <row r="72" spans="1:9" ht="15.75" customHeight="1" x14ac:dyDescent="0.25">
      <c r="A72" s="1">
        <v>51</v>
      </c>
      <c r="B72" s="1">
        <v>38560</v>
      </c>
      <c r="C72" s="1">
        <v>13</v>
      </c>
      <c r="D72" s="1">
        <v>19</v>
      </c>
      <c r="E72" s="2">
        <v>5.9384377828666697</v>
      </c>
      <c r="F72" s="1">
        <v>46</v>
      </c>
      <c r="G72" s="1">
        <v>18</v>
      </c>
      <c r="H72" s="1" t="s">
        <v>9</v>
      </c>
      <c r="I72" s="1" t="s">
        <v>15</v>
      </c>
    </row>
    <row r="73" spans="1:9" ht="15.75" customHeight="1" x14ac:dyDescent="0.25">
      <c r="A73" s="1">
        <v>27</v>
      </c>
      <c r="B73" s="1">
        <v>52529</v>
      </c>
      <c r="C73" s="1">
        <v>7</v>
      </c>
      <c r="D73" s="1">
        <v>17</v>
      </c>
      <c r="E73" s="2">
        <v>5.8098115335926996</v>
      </c>
      <c r="F73" s="1">
        <v>27</v>
      </c>
      <c r="G73" s="1">
        <v>19</v>
      </c>
      <c r="H73" s="1" t="s">
        <v>11</v>
      </c>
      <c r="I73" s="1" t="s">
        <v>12</v>
      </c>
    </row>
    <row r="74" spans="1:9" ht="15.75" customHeight="1" x14ac:dyDescent="0.25">
      <c r="A74" s="1">
        <v>53</v>
      </c>
      <c r="B74" s="1">
        <v>30171</v>
      </c>
      <c r="C74" s="1">
        <v>7</v>
      </c>
      <c r="D74" s="1">
        <v>11</v>
      </c>
      <c r="E74" s="2">
        <v>4.2039233584478701</v>
      </c>
      <c r="F74" s="1">
        <v>37</v>
      </c>
      <c r="G74" s="1">
        <v>29</v>
      </c>
      <c r="H74" s="1" t="s">
        <v>13</v>
      </c>
      <c r="I74" s="1" t="s">
        <v>12</v>
      </c>
    </row>
    <row r="75" spans="1:9" ht="15.75" customHeight="1" x14ac:dyDescent="0.25">
      <c r="A75" s="1">
        <v>31</v>
      </c>
      <c r="B75" s="1">
        <v>39976</v>
      </c>
      <c r="C75" s="1">
        <v>8</v>
      </c>
      <c r="D75" s="1">
        <v>14</v>
      </c>
      <c r="E75" s="2">
        <v>9.0479553660633307</v>
      </c>
      <c r="F75" s="1">
        <v>46</v>
      </c>
      <c r="G75" s="1">
        <v>18</v>
      </c>
      <c r="H75" s="1" t="s">
        <v>9</v>
      </c>
      <c r="I75" s="1" t="s">
        <v>16</v>
      </c>
    </row>
    <row r="76" spans="1:9" ht="15.75" customHeight="1" x14ac:dyDescent="0.25">
      <c r="A76" s="1">
        <v>48</v>
      </c>
      <c r="B76" s="1">
        <v>47940</v>
      </c>
      <c r="C76" s="1">
        <v>9</v>
      </c>
      <c r="D76" s="1">
        <v>16</v>
      </c>
      <c r="E76" s="2">
        <v>2.1587355846967902</v>
      </c>
      <c r="F76" s="1">
        <v>57</v>
      </c>
      <c r="G76" s="1">
        <v>12</v>
      </c>
      <c r="H76" s="1" t="s">
        <v>13</v>
      </c>
      <c r="I76" s="1" t="s">
        <v>16</v>
      </c>
    </row>
    <row r="77" spans="1:9" ht="15.75" customHeight="1" x14ac:dyDescent="0.25">
      <c r="A77" s="1">
        <v>32</v>
      </c>
      <c r="B77" s="1">
        <v>71019</v>
      </c>
      <c r="C77" s="1">
        <v>8</v>
      </c>
      <c r="D77" s="1">
        <v>17</v>
      </c>
      <c r="E77" s="2">
        <v>3.9708956197913898</v>
      </c>
      <c r="F77" s="1">
        <v>48</v>
      </c>
      <c r="G77" s="1">
        <v>29</v>
      </c>
      <c r="H77" s="1" t="s">
        <v>9</v>
      </c>
      <c r="I77" s="1" t="s">
        <v>10</v>
      </c>
    </row>
    <row r="78" spans="1:9" ht="15.75" customHeight="1" x14ac:dyDescent="0.25">
      <c r="A78" s="1">
        <v>25</v>
      </c>
      <c r="B78" s="1">
        <v>49318</v>
      </c>
      <c r="C78" s="1">
        <v>10</v>
      </c>
      <c r="D78" s="1">
        <v>10</v>
      </c>
      <c r="E78" s="2">
        <v>3.89424488212026</v>
      </c>
      <c r="F78" s="1">
        <v>57</v>
      </c>
      <c r="G78" s="1">
        <v>20</v>
      </c>
      <c r="H78" s="1" t="s">
        <v>11</v>
      </c>
      <c r="I78" s="1" t="s">
        <v>14</v>
      </c>
    </row>
    <row r="79" spans="1:9" ht="15.75" customHeight="1" x14ac:dyDescent="0.25">
      <c r="A79" s="1">
        <v>31</v>
      </c>
      <c r="B79" s="1">
        <v>53254</v>
      </c>
      <c r="C79" s="1">
        <v>9</v>
      </c>
      <c r="D79" s="1">
        <v>15</v>
      </c>
      <c r="E79" s="2">
        <v>1.83061527605871</v>
      </c>
      <c r="F79" s="1">
        <v>36</v>
      </c>
      <c r="G79" s="1">
        <v>15</v>
      </c>
      <c r="H79" s="1" t="s">
        <v>11</v>
      </c>
      <c r="I79" s="1" t="s">
        <v>16</v>
      </c>
    </row>
    <row r="80" spans="1:9" ht="15.75" customHeight="1" x14ac:dyDescent="0.25">
      <c r="A80" s="1">
        <v>40</v>
      </c>
      <c r="B80" s="1">
        <v>57686</v>
      </c>
      <c r="C80" s="1">
        <v>11</v>
      </c>
      <c r="D80" s="1">
        <v>10</v>
      </c>
      <c r="E80" s="2">
        <v>5.3303085465066298</v>
      </c>
      <c r="F80" s="1">
        <v>42</v>
      </c>
      <c r="G80" s="1">
        <v>11</v>
      </c>
      <c r="H80" s="1" t="s">
        <v>9</v>
      </c>
      <c r="I80" s="1" t="s">
        <v>16</v>
      </c>
    </row>
    <row r="81" spans="1:9" ht="15.75" customHeight="1" x14ac:dyDescent="0.25">
      <c r="A81" s="1">
        <v>57</v>
      </c>
      <c r="B81" s="1">
        <v>58152</v>
      </c>
      <c r="C81" s="1">
        <v>6</v>
      </c>
      <c r="D81" s="1">
        <v>11</v>
      </c>
      <c r="E81" s="2">
        <v>7.1900624538647397</v>
      </c>
      <c r="F81" s="1">
        <v>48</v>
      </c>
      <c r="G81" s="1">
        <v>16</v>
      </c>
      <c r="H81" s="1" t="s">
        <v>11</v>
      </c>
      <c r="I81" s="1" t="s">
        <v>15</v>
      </c>
    </row>
    <row r="82" spans="1:9" ht="15.75" customHeight="1" x14ac:dyDescent="0.25">
      <c r="A82" s="1">
        <v>38</v>
      </c>
      <c r="B82" s="1">
        <v>50421</v>
      </c>
      <c r="C82" s="1">
        <v>11</v>
      </c>
      <c r="D82" s="1">
        <v>10</v>
      </c>
      <c r="E82" s="2">
        <v>5.6049131219253496</v>
      </c>
      <c r="F82" s="1">
        <v>16</v>
      </c>
      <c r="G82" s="1">
        <v>27</v>
      </c>
      <c r="H82" s="1" t="s">
        <v>9</v>
      </c>
      <c r="I82" s="1" t="s">
        <v>12</v>
      </c>
    </row>
    <row r="83" spans="1:9" ht="15.75" customHeight="1" x14ac:dyDescent="0.25">
      <c r="A83" s="1">
        <v>33</v>
      </c>
      <c r="B83" s="1">
        <v>32043</v>
      </c>
      <c r="C83" s="1">
        <v>12</v>
      </c>
      <c r="D83" s="1">
        <v>14</v>
      </c>
      <c r="E83" s="2">
        <v>2.41279914444574</v>
      </c>
      <c r="F83" s="1">
        <v>55</v>
      </c>
      <c r="G83" s="1">
        <v>11</v>
      </c>
      <c r="H83" s="1" t="s">
        <v>11</v>
      </c>
      <c r="I83" s="1" t="s">
        <v>14</v>
      </c>
    </row>
    <row r="84" spans="1:9" ht="15.75" customHeight="1" x14ac:dyDescent="0.25">
      <c r="A84" s="1">
        <v>62</v>
      </c>
      <c r="B84" s="1">
        <v>61845</v>
      </c>
      <c r="C84" s="1">
        <v>7</v>
      </c>
      <c r="D84" s="1">
        <v>19</v>
      </c>
      <c r="E84" s="2">
        <v>4.3955736871786497</v>
      </c>
      <c r="F84" s="1">
        <v>21</v>
      </c>
      <c r="G84" s="1">
        <v>26</v>
      </c>
      <c r="H84" s="1" t="s">
        <v>13</v>
      </c>
      <c r="I84" s="1" t="s">
        <v>15</v>
      </c>
    </row>
    <row r="85" spans="1:9" ht="15.75" customHeight="1" x14ac:dyDescent="0.25">
      <c r="A85" s="1">
        <v>35</v>
      </c>
      <c r="B85" s="1">
        <v>56472</v>
      </c>
      <c r="C85" s="1">
        <v>10</v>
      </c>
      <c r="D85" s="1">
        <v>18</v>
      </c>
      <c r="E85" s="2">
        <v>1.0233552194528099</v>
      </c>
      <c r="F85" s="1">
        <v>49</v>
      </c>
      <c r="G85" s="1">
        <v>20</v>
      </c>
      <c r="H85" s="1" t="s">
        <v>11</v>
      </c>
      <c r="I85" s="1" t="s">
        <v>10</v>
      </c>
    </row>
    <row r="86" spans="1:9" ht="15.75" customHeight="1" x14ac:dyDescent="0.25">
      <c r="A86" s="1">
        <v>64</v>
      </c>
      <c r="B86" s="1">
        <v>33548</v>
      </c>
      <c r="C86" s="1">
        <v>9</v>
      </c>
      <c r="D86" s="1">
        <v>15</v>
      </c>
      <c r="E86" s="2">
        <v>8.8147099633202792</v>
      </c>
      <c r="F86" s="1">
        <v>46</v>
      </c>
      <c r="G86" s="1">
        <v>21</v>
      </c>
      <c r="H86" s="1" t="s">
        <v>13</v>
      </c>
      <c r="I86" s="1" t="s">
        <v>10</v>
      </c>
    </row>
    <row r="87" spans="1:9" ht="15.75" customHeight="1" x14ac:dyDescent="0.25">
      <c r="A87" s="1">
        <v>41</v>
      </c>
      <c r="B87" s="1">
        <v>39765</v>
      </c>
      <c r="C87" s="1">
        <v>5</v>
      </c>
      <c r="D87" s="1">
        <v>10</v>
      </c>
      <c r="E87" s="2">
        <v>1.76065306912613</v>
      </c>
      <c r="F87" s="1">
        <v>16</v>
      </c>
      <c r="G87" s="1">
        <v>28</v>
      </c>
      <c r="H87" s="1" t="s">
        <v>11</v>
      </c>
      <c r="I87" s="1" t="s">
        <v>16</v>
      </c>
    </row>
    <row r="88" spans="1:9" ht="15.75" customHeight="1" x14ac:dyDescent="0.25">
      <c r="A88" s="1">
        <v>43</v>
      </c>
      <c r="B88" s="1">
        <v>63312</v>
      </c>
      <c r="C88" s="1">
        <v>9</v>
      </c>
      <c r="D88" s="1">
        <v>10</v>
      </c>
      <c r="E88" s="2">
        <v>6.3755027402988702</v>
      </c>
      <c r="F88" s="1">
        <v>17</v>
      </c>
      <c r="G88" s="1">
        <v>16</v>
      </c>
      <c r="H88" s="1" t="s">
        <v>13</v>
      </c>
      <c r="I88" s="1" t="s">
        <v>16</v>
      </c>
    </row>
    <row r="89" spans="1:9" ht="15.75" customHeight="1" x14ac:dyDescent="0.25">
      <c r="A89" s="1">
        <v>42</v>
      </c>
      <c r="B89" s="1">
        <v>59082</v>
      </c>
      <c r="C89" s="1">
        <v>12</v>
      </c>
      <c r="D89" s="1">
        <v>11</v>
      </c>
      <c r="E89" s="2">
        <v>9.8763129628013306</v>
      </c>
      <c r="F89" s="1">
        <v>54</v>
      </c>
      <c r="G89" s="1">
        <v>29</v>
      </c>
      <c r="H89" s="1" t="s">
        <v>11</v>
      </c>
      <c r="I89" s="1" t="s">
        <v>10</v>
      </c>
    </row>
    <row r="90" spans="1:9" ht="15.75" customHeight="1" x14ac:dyDescent="0.25">
      <c r="A90" s="1">
        <v>62</v>
      </c>
      <c r="B90" s="1">
        <v>39195</v>
      </c>
      <c r="C90" s="1">
        <v>10</v>
      </c>
      <c r="D90" s="1">
        <v>18</v>
      </c>
      <c r="E90" s="2">
        <v>5.82931581388599</v>
      </c>
      <c r="F90" s="1">
        <v>52</v>
      </c>
      <c r="G90" s="1">
        <v>15</v>
      </c>
      <c r="H90" s="1" t="s">
        <v>13</v>
      </c>
      <c r="I90" s="1" t="s">
        <v>16</v>
      </c>
    </row>
    <row r="91" spans="1:9" ht="15.75" customHeight="1" x14ac:dyDescent="0.25">
      <c r="A91" s="1">
        <v>58</v>
      </c>
      <c r="B91" s="1">
        <v>45950</v>
      </c>
      <c r="C91" s="1">
        <v>5</v>
      </c>
      <c r="D91" s="1">
        <v>12</v>
      </c>
      <c r="E91" s="2">
        <v>9.3163758319668908</v>
      </c>
      <c r="F91" s="1">
        <v>31</v>
      </c>
      <c r="G91" s="1">
        <v>10</v>
      </c>
      <c r="H91" s="1" t="s">
        <v>9</v>
      </c>
      <c r="I91" s="1" t="s">
        <v>14</v>
      </c>
    </row>
    <row r="92" spans="1:9" ht="15.75" customHeight="1" x14ac:dyDescent="0.25">
      <c r="A92" s="1">
        <v>46</v>
      </c>
      <c r="B92" s="1">
        <v>47848</v>
      </c>
      <c r="C92" s="1">
        <v>10</v>
      </c>
      <c r="D92" s="1">
        <v>10</v>
      </c>
      <c r="E92" s="2">
        <v>3.1250487980566302</v>
      </c>
      <c r="F92" s="1">
        <v>31</v>
      </c>
      <c r="G92" s="1">
        <v>26</v>
      </c>
      <c r="H92" s="1" t="s">
        <v>9</v>
      </c>
      <c r="I92" s="1" t="s">
        <v>16</v>
      </c>
    </row>
    <row r="93" spans="1:9" ht="15.75" customHeight="1" x14ac:dyDescent="0.25">
      <c r="A93" s="1">
        <v>32</v>
      </c>
      <c r="B93" s="1">
        <v>59255</v>
      </c>
      <c r="C93" s="1">
        <v>10</v>
      </c>
      <c r="D93" s="1">
        <v>14</v>
      </c>
      <c r="E93" s="2">
        <v>7.8395986804382698</v>
      </c>
      <c r="F93" s="1">
        <v>45</v>
      </c>
      <c r="G93" s="1">
        <v>20</v>
      </c>
      <c r="H93" s="1" t="s">
        <v>13</v>
      </c>
      <c r="I93" s="1" t="s">
        <v>12</v>
      </c>
    </row>
    <row r="94" spans="1:9" ht="15.75" customHeight="1" x14ac:dyDescent="0.25">
      <c r="A94" s="1">
        <v>62</v>
      </c>
      <c r="B94" s="1">
        <v>68734</v>
      </c>
      <c r="C94" s="1">
        <v>14</v>
      </c>
      <c r="D94" s="1">
        <v>16</v>
      </c>
      <c r="E94" s="2">
        <v>5.7813917857617998</v>
      </c>
      <c r="F94" s="1">
        <v>39</v>
      </c>
      <c r="G94" s="1">
        <v>27</v>
      </c>
      <c r="H94" s="1" t="s">
        <v>11</v>
      </c>
      <c r="I94" s="1" t="s">
        <v>16</v>
      </c>
    </row>
    <row r="95" spans="1:9" ht="15.75" customHeight="1" x14ac:dyDescent="0.25">
      <c r="A95" s="1">
        <v>18</v>
      </c>
      <c r="B95" s="1">
        <v>50984</v>
      </c>
      <c r="C95" s="1">
        <v>7</v>
      </c>
      <c r="D95" s="1">
        <v>15</v>
      </c>
      <c r="E95" s="2">
        <v>7.4846445525231804</v>
      </c>
      <c r="F95" s="1">
        <v>50</v>
      </c>
      <c r="G95" s="1">
        <v>26</v>
      </c>
      <c r="H95" s="1" t="s">
        <v>13</v>
      </c>
      <c r="I95" s="1" t="s">
        <v>15</v>
      </c>
    </row>
    <row r="96" spans="1:9" ht="15.75" customHeight="1" x14ac:dyDescent="0.25">
      <c r="A96" s="1">
        <v>42</v>
      </c>
      <c r="B96" s="1">
        <v>67538</v>
      </c>
      <c r="C96" s="1">
        <v>15</v>
      </c>
      <c r="D96" s="1">
        <v>10</v>
      </c>
      <c r="E96" s="2">
        <v>1.5610722626011699</v>
      </c>
      <c r="F96" s="1">
        <v>44</v>
      </c>
      <c r="G96" s="1">
        <v>16</v>
      </c>
      <c r="H96" s="1" t="s">
        <v>11</v>
      </c>
      <c r="I96" s="1" t="s">
        <v>14</v>
      </c>
    </row>
    <row r="97" spans="1:9" ht="15.75" customHeight="1" x14ac:dyDescent="0.25">
      <c r="A97" s="1">
        <v>24</v>
      </c>
      <c r="B97" s="1">
        <v>63099</v>
      </c>
      <c r="C97" s="1">
        <v>10</v>
      </c>
      <c r="D97" s="1">
        <v>14</v>
      </c>
      <c r="E97" s="2">
        <v>2.3296518271560398</v>
      </c>
      <c r="F97" s="1">
        <v>55</v>
      </c>
      <c r="G97" s="1">
        <v>26</v>
      </c>
      <c r="H97" s="1" t="s">
        <v>9</v>
      </c>
      <c r="I97" s="1" t="s">
        <v>15</v>
      </c>
    </row>
    <row r="98" spans="1:9" ht="15.75" customHeight="1" x14ac:dyDescent="0.25">
      <c r="A98" s="1">
        <v>26</v>
      </c>
      <c r="B98" s="1">
        <v>53084</v>
      </c>
      <c r="C98" s="1">
        <v>14</v>
      </c>
      <c r="D98" s="1">
        <v>14</v>
      </c>
      <c r="E98" s="2">
        <v>2.1980523572872999</v>
      </c>
      <c r="F98" s="1">
        <v>49</v>
      </c>
      <c r="G98" s="1">
        <v>29</v>
      </c>
      <c r="H98" s="1" t="s">
        <v>11</v>
      </c>
      <c r="I98" s="1" t="s">
        <v>15</v>
      </c>
    </row>
    <row r="99" spans="1:9" ht="15.75" customHeight="1" x14ac:dyDescent="0.25">
      <c r="A99" s="1">
        <v>41</v>
      </c>
      <c r="B99" s="1">
        <v>28347</v>
      </c>
      <c r="C99" s="1">
        <v>15</v>
      </c>
      <c r="D99" s="1">
        <v>15</v>
      </c>
      <c r="E99" s="2">
        <v>7.1844895486299798</v>
      </c>
      <c r="F99" s="1">
        <v>47</v>
      </c>
      <c r="G99" s="1">
        <v>18</v>
      </c>
      <c r="H99" s="1" t="s">
        <v>9</v>
      </c>
      <c r="I99" s="1" t="s">
        <v>12</v>
      </c>
    </row>
    <row r="100" spans="1:9" ht="15.75" customHeight="1" x14ac:dyDescent="0.25">
      <c r="A100" s="1">
        <v>18</v>
      </c>
      <c r="B100" s="1">
        <v>34584</v>
      </c>
      <c r="C100" s="1">
        <v>8</v>
      </c>
      <c r="D100" s="1">
        <v>12</v>
      </c>
      <c r="E100" s="2">
        <v>8.5999660537026497</v>
      </c>
      <c r="F100" s="1">
        <v>36</v>
      </c>
      <c r="G100" s="1">
        <v>26</v>
      </c>
      <c r="H100" s="1" t="s">
        <v>11</v>
      </c>
      <c r="I100" s="1" t="s">
        <v>14</v>
      </c>
    </row>
    <row r="101" spans="1:9" ht="15.75" customHeight="1" x14ac:dyDescent="0.25">
      <c r="A101" s="1">
        <v>61</v>
      </c>
      <c r="B101" s="1">
        <v>61118</v>
      </c>
      <c r="C101" s="1">
        <v>10</v>
      </c>
      <c r="D101" s="1">
        <v>14</v>
      </c>
      <c r="E101" s="2">
        <v>7.4654608807728602</v>
      </c>
      <c r="F101" s="1">
        <v>35</v>
      </c>
      <c r="G101" s="1">
        <v>29</v>
      </c>
      <c r="H101" s="1" t="s">
        <v>11</v>
      </c>
      <c r="I101" s="1" t="s">
        <v>14</v>
      </c>
    </row>
    <row r="102" spans="1:9" ht="15.75" customHeight="1" x14ac:dyDescent="0.25"/>
    <row r="103" spans="1:9" ht="15.75" customHeight="1" x14ac:dyDescent="0.25"/>
    <row r="104" spans="1:9" ht="15.75" customHeight="1" x14ac:dyDescent="0.25"/>
    <row r="105" spans="1:9" ht="15.75" customHeight="1" x14ac:dyDescent="0.25"/>
    <row r="106" spans="1:9" ht="15.75" customHeight="1" x14ac:dyDescent="0.25"/>
    <row r="107" spans="1:9" ht="15.75" customHeight="1" x14ac:dyDescent="0.25"/>
    <row r="108" spans="1:9" ht="15.75" customHeight="1" x14ac:dyDescent="0.25"/>
    <row r="109" spans="1:9" ht="15.75" customHeight="1" x14ac:dyDescent="0.25"/>
    <row r="110" spans="1:9" ht="15.75" customHeight="1" x14ac:dyDescent="0.25"/>
    <row r="111" spans="1:9" ht="15.75" customHeight="1" x14ac:dyDescent="0.25"/>
    <row r="112" spans="1:9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9D8A-3985-444B-BF33-DECF045F0EC5}">
  <sheetPr>
    <tabColor theme="9" tint="-0.499984740745262"/>
  </sheetPr>
  <dimension ref="A1:A36"/>
  <sheetViews>
    <sheetView workbookViewId="0">
      <selection activeCell="A15" sqref="A15"/>
    </sheetView>
  </sheetViews>
  <sheetFormatPr defaultRowHeight="13.2" x14ac:dyDescent="0.25"/>
  <cols>
    <col min="1" max="1" width="119.109375" bestFit="1" customWidth="1"/>
  </cols>
  <sheetData>
    <row r="1" spans="1:1" x14ac:dyDescent="0.25">
      <c r="A1" s="3" t="s">
        <v>17</v>
      </c>
    </row>
    <row r="3" spans="1:1" ht="17.399999999999999" x14ac:dyDescent="0.25">
      <c r="A3" s="6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9" spans="1:1" ht="17.399999999999999" x14ac:dyDescent="0.25">
      <c r="A9" s="6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4" spans="1:1" ht="17.399999999999999" x14ac:dyDescent="0.25">
      <c r="A14" s="6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8" spans="1:1" ht="17.399999999999999" x14ac:dyDescent="0.25">
      <c r="A18" s="6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s="5" t="s">
        <v>32</v>
      </c>
    </row>
    <row r="22" spans="1:1" x14ac:dyDescent="0.25">
      <c r="A22" s="5" t="s">
        <v>33</v>
      </c>
    </row>
    <row r="23" spans="1:1" x14ac:dyDescent="0.25">
      <c r="A23" s="5" t="s">
        <v>34</v>
      </c>
    </row>
    <row r="25" spans="1:1" x14ac:dyDescent="0.25">
      <c r="A25" s="5"/>
    </row>
    <row r="26" spans="1:1" ht="17.399999999999999" x14ac:dyDescent="0.25">
      <c r="A26" s="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30" spans="1:1" ht="17.399999999999999" x14ac:dyDescent="0.25">
      <c r="A30" s="6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4" spans="1:1" ht="17.399999999999999" x14ac:dyDescent="0.25">
      <c r="A34" s="4" t="s">
        <v>41</v>
      </c>
    </row>
    <row r="35" spans="1:1" x14ac:dyDescent="0.25">
      <c r="A35" t="s">
        <v>42</v>
      </c>
    </row>
    <row r="36" spans="1:1" x14ac:dyDescent="0.25">
      <c r="A3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7F183-B7CD-4C3F-ABB0-17A4E7A3E656}">
  <sheetPr>
    <tabColor theme="9" tint="-0.249977111117893"/>
  </sheetPr>
  <dimension ref="A1:D15"/>
  <sheetViews>
    <sheetView workbookViewId="0">
      <selection activeCell="D10" sqref="D10"/>
    </sheetView>
  </sheetViews>
  <sheetFormatPr defaultRowHeight="13.2" x14ac:dyDescent="0.25"/>
  <cols>
    <col min="1" max="1" width="34.21875" style="8" bestFit="1" customWidth="1"/>
    <col min="2" max="2" width="19.5546875" bestFit="1" customWidth="1"/>
    <col min="4" max="4" width="118.6640625" bestFit="1" customWidth="1"/>
  </cols>
  <sheetData>
    <row r="1" spans="1:4" x14ac:dyDescent="0.25">
      <c r="A1" s="12" t="s">
        <v>52</v>
      </c>
      <c r="D1" t="s">
        <v>55</v>
      </c>
    </row>
    <row r="2" spans="1:4" x14ac:dyDescent="0.25">
      <c r="A2" s="13">
        <f>AVERAGE('EMPLOYEE RAW'!B2:B101)</f>
        <v>51027.11</v>
      </c>
    </row>
    <row r="4" spans="1:4" x14ac:dyDescent="0.25">
      <c r="A4" s="12" t="s">
        <v>53</v>
      </c>
      <c r="D4" t="s">
        <v>56</v>
      </c>
    </row>
    <row r="5" spans="1:4" x14ac:dyDescent="0.25">
      <c r="A5" s="10">
        <f>MEDIAN('EMPLOYEE RAW'!C2:C101)</f>
        <v>10</v>
      </c>
    </row>
    <row r="7" spans="1:4" x14ac:dyDescent="0.25">
      <c r="A7" s="12" t="s">
        <v>54</v>
      </c>
      <c r="D7" t="s">
        <v>57</v>
      </c>
    </row>
    <row r="8" spans="1:4" x14ac:dyDescent="0.25">
      <c r="A8" s="11" t="s">
        <v>44</v>
      </c>
      <c r="B8" t="s">
        <v>46</v>
      </c>
    </row>
    <row r="9" spans="1:4" ht="13.8" x14ac:dyDescent="0.25">
      <c r="A9" s="8" t="s">
        <v>15</v>
      </c>
      <c r="B9" s="14">
        <v>24</v>
      </c>
    </row>
    <row r="10" spans="1:4" x14ac:dyDescent="0.25">
      <c r="A10" s="8" t="s">
        <v>14</v>
      </c>
      <c r="B10">
        <v>20</v>
      </c>
    </row>
    <row r="11" spans="1:4" x14ac:dyDescent="0.25">
      <c r="A11" s="8" t="s">
        <v>16</v>
      </c>
      <c r="B11">
        <v>19</v>
      </c>
    </row>
    <row r="12" spans="1:4" x14ac:dyDescent="0.25">
      <c r="A12" s="8" t="s">
        <v>10</v>
      </c>
      <c r="B12">
        <v>16</v>
      </c>
    </row>
    <row r="13" spans="1:4" x14ac:dyDescent="0.25">
      <c r="A13" s="8" t="s">
        <v>12</v>
      </c>
      <c r="B13">
        <v>21</v>
      </c>
    </row>
    <row r="14" spans="1:4" x14ac:dyDescent="0.25">
      <c r="A14" s="8" t="s">
        <v>45</v>
      </c>
      <c r="B14">
        <v>100</v>
      </c>
    </row>
    <row r="15" spans="1:4" x14ac:dyDescent="0.25">
      <c r="A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E2A1-7E9A-40D7-9974-30CD19BD6199}">
  <sheetPr>
    <tabColor theme="9" tint="-0.249977111117893"/>
  </sheetPr>
  <dimension ref="A1:D8"/>
  <sheetViews>
    <sheetView workbookViewId="0">
      <selection activeCell="D17" sqref="D17"/>
    </sheetView>
  </sheetViews>
  <sheetFormatPr defaultRowHeight="13.2" x14ac:dyDescent="0.25"/>
  <cols>
    <col min="1" max="1" width="35.88671875" style="15" bestFit="1" customWidth="1"/>
    <col min="4" max="4" width="123" bestFit="1" customWidth="1"/>
  </cols>
  <sheetData>
    <row r="1" spans="1:4" x14ac:dyDescent="0.25">
      <c r="A1" s="12" t="s">
        <v>59</v>
      </c>
      <c r="D1" t="s">
        <v>58</v>
      </c>
    </row>
    <row r="2" spans="1:4" x14ac:dyDescent="0.25">
      <c r="A2" s="13">
        <f>_xlfn.STDEV.S('EMPLOYEE RAW'!F2:F101)</f>
        <v>11.706926206828214</v>
      </c>
    </row>
    <row r="4" spans="1:4" x14ac:dyDescent="0.25">
      <c r="A4" s="12" t="s">
        <v>60</v>
      </c>
      <c r="D4" t="s">
        <v>61</v>
      </c>
    </row>
    <row r="5" spans="1:4" x14ac:dyDescent="0.25">
      <c r="A5" s="13">
        <f>_xlfn.VAR.S('EMPLOYEE RAW'!E2:E101)</f>
        <v>6.1388727706692157</v>
      </c>
    </row>
    <row r="7" spans="1:4" x14ac:dyDescent="0.25">
      <c r="A7" s="12" t="s">
        <v>62</v>
      </c>
      <c r="D7" t="s">
        <v>63</v>
      </c>
    </row>
    <row r="8" spans="1:4" x14ac:dyDescent="0.25">
      <c r="A8" s="19">
        <f>MAX('EMPLOYEE RAW'!G2:G101) - MIN('EMPLOYEE RAW'!G2:G101)</f>
        <v>19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555C-1E9C-44F9-97F9-E5D9DB55C328}">
  <sheetPr>
    <tabColor theme="9" tint="-0.249977111117893"/>
  </sheetPr>
  <dimension ref="A1:C5"/>
  <sheetViews>
    <sheetView workbookViewId="0">
      <selection activeCell="C15" sqref="C15"/>
    </sheetView>
  </sheetViews>
  <sheetFormatPr defaultRowHeight="13.2" x14ac:dyDescent="0.25"/>
  <cols>
    <col min="1" max="1" width="42" style="8" customWidth="1"/>
    <col min="3" max="3" width="122.6640625" bestFit="1" customWidth="1"/>
  </cols>
  <sheetData>
    <row r="1" spans="1:3" x14ac:dyDescent="0.25">
      <c r="A1" s="12" t="s">
        <v>64</v>
      </c>
      <c r="C1" s="7" t="s">
        <v>65</v>
      </c>
    </row>
    <row r="2" spans="1:3" x14ac:dyDescent="0.25">
      <c r="A2" s="17">
        <f>CORREL('EMPLOYEE RAW'!C2:C101, 'EMPLOYEE RAW'!B2:B101)</f>
        <v>7.3554916855230926E-2</v>
      </c>
    </row>
    <row r="4" spans="1:3" x14ac:dyDescent="0.25">
      <c r="A4" s="12" t="s">
        <v>66</v>
      </c>
      <c r="C4" s="7" t="s">
        <v>67</v>
      </c>
    </row>
    <row r="5" spans="1:3" x14ac:dyDescent="0.25">
      <c r="A5" s="17">
        <f>CORREL('EMPLOYEE RAW'!F2:F101, 'EMPLOYEE RAW'!E2:E101)</f>
        <v>3.429220060607837E-2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B0B7-EE7E-4869-8329-47A30C45E2E9}">
  <sheetPr>
    <tabColor theme="9" tint="-0.249977111117893"/>
  </sheetPr>
  <dimension ref="A1:C10"/>
  <sheetViews>
    <sheetView workbookViewId="0">
      <selection activeCell="C13" sqref="C13"/>
    </sheetView>
  </sheetViews>
  <sheetFormatPr defaultRowHeight="13.2" x14ac:dyDescent="0.25"/>
  <cols>
    <col min="1" max="1" width="21.109375" style="8" bestFit="1" customWidth="1"/>
    <col min="3" max="3" width="139.5546875" bestFit="1" customWidth="1"/>
  </cols>
  <sheetData>
    <row r="1" spans="1:3" x14ac:dyDescent="0.25">
      <c r="A1" s="12" t="s">
        <v>68</v>
      </c>
      <c r="C1" s="7" t="s">
        <v>69</v>
      </c>
    </row>
    <row r="2" spans="1:3" x14ac:dyDescent="0.25">
      <c r="A2" s="16">
        <f>SLOPE('EMPLOYEE RAW'!E2:E101, 'EMPLOYEE RAW'!C2:C101)</f>
        <v>-5.595931122467207E-2</v>
      </c>
    </row>
    <row r="4" spans="1:3" x14ac:dyDescent="0.25">
      <c r="A4" s="12" t="s">
        <v>72</v>
      </c>
      <c r="C4" s="7" t="s">
        <v>70</v>
      </c>
    </row>
    <row r="5" spans="1:3" x14ac:dyDescent="0.25">
      <c r="A5" s="16">
        <f>INTERCEPT('EMPLOYEE RAW'!E2:E101, 'EMPLOYEE RAW'!C2:C101)</f>
        <v>6.1263067936691566</v>
      </c>
    </row>
    <row r="7" spans="1:3" x14ac:dyDescent="0.25">
      <c r="A7" s="12" t="s">
        <v>47</v>
      </c>
      <c r="C7" s="7" t="s">
        <v>71</v>
      </c>
    </row>
    <row r="8" spans="1:3" x14ac:dyDescent="0.25">
      <c r="A8" s="16">
        <f>RSQ('EMPLOYEE RAW'!E2:E101, 'EMPLOYEE RAW'!C2:C101)</f>
        <v>5.3406533508850561E-3</v>
      </c>
    </row>
    <row r="10" spans="1:3" x14ac:dyDescent="0.25">
      <c r="A10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FE68-FB17-4DDC-91BC-86A9986D6168}">
  <sheetPr>
    <tabColor theme="9" tint="-0.249977111117893"/>
  </sheetPr>
  <dimension ref="A1:B15"/>
  <sheetViews>
    <sheetView workbookViewId="0">
      <selection activeCell="D22" sqref="D22"/>
    </sheetView>
  </sheetViews>
  <sheetFormatPr defaultRowHeight="13.2" x14ac:dyDescent="0.25"/>
  <cols>
    <col min="1" max="1" width="38.6640625" style="8" bestFit="1" customWidth="1"/>
    <col min="2" max="2" width="154.44140625" bestFit="1" customWidth="1"/>
  </cols>
  <sheetData>
    <row r="1" spans="1:2" x14ac:dyDescent="0.25">
      <c r="A1" s="12" t="s">
        <v>73</v>
      </c>
      <c r="B1" s="7" t="s">
        <v>79</v>
      </c>
    </row>
    <row r="2" spans="1:2" x14ac:dyDescent="0.25">
      <c r="A2" s="7" t="s">
        <v>75</v>
      </c>
    </row>
    <row r="3" spans="1:2" x14ac:dyDescent="0.25">
      <c r="A3" s="10">
        <f>AVERAGE('EMPLOYEE RAW'!C2:C101)</f>
        <v>9.93</v>
      </c>
    </row>
    <row r="5" spans="1:2" x14ac:dyDescent="0.25">
      <c r="A5" s="7" t="s">
        <v>74</v>
      </c>
    </row>
    <row r="6" spans="1:2" x14ac:dyDescent="0.25">
      <c r="A6" s="10">
        <f>MEDIAN('EMPLOYEE RAW'!C2:C101)</f>
        <v>10</v>
      </c>
    </row>
    <row r="8" spans="1:2" x14ac:dyDescent="0.25">
      <c r="A8" s="10" t="s">
        <v>76</v>
      </c>
    </row>
    <row r="9" spans="1:2" x14ac:dyDescent="0.25">
      <c r="A9" s="18">
        <f>_xlfn.STDEV.S('EMPLOYEE RAW'!C2:C101)</f>
        <v>3.2357067203005254</v>
      </c>
    </row>
    <row r="11" spans="1:2" x14ac:dyDescent="0.25">
      <c r="A11" s="12" t="s">
        <v>77</v>
      </c>
      <c r="B11" s="7" t="s">
        <v>80</v>
      </c>
    </row>
    <row r="12" spans="1:2" x14ac:dyDescent="0.25">
      <c r="A12" s="7" t="s">
        <v>81</v>
      </c>
    </row>
    <row r="13" spans="1:2" x14ac:dyDescent="0.25">
      <c r="A13" s="13" cm="1">
        <f t="array" ref="A13">_xlfn.VAR.S(_xlfn._xlws.FILTER('EMPLOYEE RAW'!B2:B101, 'EMPLOYEE RAW'!I2:I101="IT"))</f>
        <v>310979074.64912289</v>
      </c>
    </row>
    <row r="14" spans="1:2" x14ac:dyDescent="0.25">
      <c r="A14" s="7" t="s">
        <v>78</v>
      </c>
    </row>
    <row r="15" spans="1:2" x14ac:dyDescent="0.25">
      <c r="A15" s="13" cm="1">
        <f t="array" ref="A15">_xlfn.VAR.S(_xlfn._xlws.FILTER('EMPLOYEE RAW'!B2:B101, 'EMPLOYEE RAW'!I2:I101="HR"))</f>
        <v>102601168.11578931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2ADE-26AA-4525-9BD2-19FD6B52AD83}">
  <sheetPr>
    <tabColor theme="9" tint="-0.249977111117893"/>
  </sheetPr>
  <dimension ref="A1:A7"/>
  <sheetViews>
    <sheetView workbookViewId="0"/>
  </sheetViews>
  <sheetFormatPr defaultRowHeight="13.2" x14ac:dyDescent="0.25"/>
  <cols>
    <col min="1" max="1" width="133.21875" bestFit="1" customWidth="1"/>
  </cols>
  <sheetData>
    <row r="1" spans="1:1" x14ac:dyDescent="0.25">
      <c r="A1" s="12" t="s">
        <v>82</v>
      </c>
    </row>
    <row r="2" spans="1:1" x14ac:dyDescent="0.25">
      <c r="A2" s="9"/>
    </row>
    <row r="3" spans="1:1" x14ac:dyDescent="0.25">
      <c r="A3" s="7" t="s">
        <v>48</v>
      </c>
    </row>
    <row r="5" spans="1:1" x14ac:dyDescent="0.25">
      <c r="A5" s="12" t="s">
        <v>83</v>
      </c>
    </row>
    <row r="7" spans="1:1" x14ac:dyDescent="0.25">
      <c r="A7" s="7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0627-99B5-49AA-9029-E9B0EF4C1F73}">
  <sheetPr>
    <tabColor theme="9" tint="-0.499984740745262"/>
  </sheetPr>
  <dimension ref="A1:L30"/>
  <sheetViews>
    <sheetView topLeftCell="A21" workbookViewId="0">
      <selection activeCell="Q17" sqref="Q17"/>
    </sheetView>
  </sheetViews>
  <sheetFormatPr defaultRowHeight="13.2" x14ac:dyDescent="0.25"/>
  <cols>
    <col min="1" max="1" width="35.109375" bestFit="1" customWidth="1"/>
  </cols>
  <sheetData>
    <row r="1" spans="1:12" x14ac:dyDescent="0.25">
      <c r="A1" s="12" t="s">
        <v>50</v>
      </c>
    </row>
    <row r="4" spans="1:12" x14ac:dyDescent="0.25">
      <c r="L4" s="7" t="s">
        <v>87</v>
      </c>
    </row>
    <row r="5" spans="1:12" x14ac:dyDescent="0.25">
      <c r="L5" s="7" t="s">
        <v>88</v>
      </c>
    </row>
    <row r="6" spans="1:12" x14ac:dyDescent="0.25">
      <c r="L6" s="7" t="s">
        <v>89</v>
      </c>
    </row>
    <row r="26" spans="1:12" x14ac:dyDescent="0.25">
      <c r="A26" s="12" t="s">
        <v>51</v>
      </c>
    </row>
    <row r="28" spans="1:12" x14ac:dyDescent="0.25">
      <c r="L28" s="7" t="s">
        <v>84</v>
      </c>
    </row>
    <row r="29" spans="1:12" x14ac:dyDescent="0.25">
      <c r="L29" s="7" t="s">
        <v>85</v>
      </c>
    </row>
    <row r="30" spans="1:12" x14ac:dyDescent="0.25">
      <c r="L30" s="7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 RAW</vt:lpstr>
      <vt:lpstr>TASK</vt:lpstr>
      <vt:lpstr>Measures of central tendency</vt:lpstr>
      <vt:lpstr> Measures of dispersion</vt:lpstr>
      <vt:lpstr>Correlation</vt:lpstr>
      <vt:lpstr>Regression</vt:lpstr>
      <vt:lpstr>Application of all measures</vt:lpstr>
      <vt:lpstr>Interpretation of results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Ryniewicz, Grzegorz (AES)</cp:lastModifiedBy>
  <dcterms:modified xsi:type="dcterms:W3CDTF">2025-12-04T18:11:12Z</dcterms:modified>
</cp:coreProperties>
</file>